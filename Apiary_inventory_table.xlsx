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stan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<sst xmlns="http://schemas.openxmlformats.org/spreadsheetml/2006/main" count="205" uniqueCount="56">
  <si>
    <t xml:space="preserve">Treatment</t>
  </si>
  <si>
    <t xml:space="preserve">12y Red Alder</t>
  </si>
  <si>
    <t xml:space="preserve">12y Cottonwood</t>
  </si>
  <si>
    <t xml:space="preserve">25y Red Alder</t>
  </si>
  <si>
    <t xml:space="preserve">25y Cottonwood</t>
  </si>
  <si>
    <t xml:space="preserve">Continuous Douglas Fir</t>
  </si>
  <si>
    <t xml:space="preserve">Year</t>
  </si>
  <si>
    <t xml:space="preserve">Age</t>
  </si>
  <si>
    <t xml:space="preserve">NA</t>
  </si>
  <si>
    <t xml:space="preserve">Live Douglas fir stems</t>
  </si>
  <si>
    <t xml:space="preserve">mean</t>
  </si>
  <si>
    <t xml:space="preserve">SD</t>
  </si>
  <si>
    <t xml:space="preserve">SE</t>
  </si>
  <si>
    <t xml:space="preserve">Total</t>
  </si>
  <si>
    <r>
      <rPr>
        <sz val="10"/>
        <rFont val="Arial"/>
        <family val="2"/>
      </rPr>
      <t xml:space="preserve">Live Douglas fir basal area (m</t>
    </r>
    <r>
      <rPr>
        <vertAlign val="superscript"/>
        <sz val="10"/>
        <rFont val="Arial"/>
        <family val="2"/>
      </rPr>
      <t xml:space="preserve">2</t>
    </r>
    <r>
      <rPr>
        <sz val="10"/>
        <rFont val="Arial"/>
        <family val="2"/>
      </rPr>
      <t xml:space="preserve">/ha)</t>
    </r>
  </si>
  <si>
    <t xml:space="preserve">Stand_ID</t>
  </si>
  <si>
    <t xml:space="preserve">TRT</t>
  </si>
  <si>
    <t xml:space="preserve">REP</t>
  </si>
  <si>
    <t xml:space="preserve">Live</t>
  </si>
  <si>
    <t xml:space="preserve">Dead</t>
  </si>
  <si>
    <t xml:space="preserve">BA_mph</t>
  </si>
  <si>
    <t xml:space="preserve">Live_Mean</t>
  </si>
  <si>
    <t xml:space="preserve">Live_SD</t>
  </si>
  <si>
    <t xml:space="preserve">Live_SE</t>
  </si>
  <si>
    <t xml:space="preserve">Live_total</t>
  </si>
  <si>
    <t xml:space="preserve">BA_mean</t>
  </si>
  <si>
    <t xml:space="preserve">BA_SD</t>
  </si>
  <si>
    <t xml:space="preserve">BA_SE</t>
  </si>
  <si>
    <t xml:space="preserve">A0</t>
  </si>
  <si>
    <t xml:space="preserve">A</t>
  </si>
  <si>
    <t xml:space="preserve">A2</t>
  </si>
  <si>
    <t xml:space="preserve">A4</t>
  </si>
  <si>
    <t xml:space="preserve">B0</t>
  </si>
  <si>
    <t xml:space="preserve">B</t>
  </si>
  <si>
    <t xml:space="preserve">B1</t>
  </si>
  <si>
    <t xml:space="preserve">B2</t>
  </si>
  <si>
    <t xml:space="preserve">B3</t>
  </si>
  <si>
    <t xml:space="preserve">B4</t>
  </si>
  <si>
    <t xml:space="preserve">C0</t>
  </si>
  <si>
    <t xml:space="preserve">C</t>
  </si>
  <si>
    <t xml:space="preserve">C1</t>
  </si>
  <si>
    <t xml:space="preserve">C2</t>
  </si>
  <si>
    <t xml:space="preserve">C3</t>
  </si>
  <si>
    <t xml:space="preserve">C4</t>
  </si>
  <si>
    <t xml:space="preserve">D0</t>
  </si>
  <si>
    <t xml:space="preserve">D</t>
  </si>
  <si>
    <t xml:space="preserve">D1</t>
  </si>
  <si>
    <t xml:space="preserve">D2</t>
  </si>
  <si>
    <t xml:space="preserve">D3</t>
  </si>
  <si>
    <t xml:space="preserve">D4</t>
  </si>
  <si>
    <t xml:space="preserve">E0</t>
  </si>
  <si>
    <t xml:space="preserve">E</t>
  </si>
  <si>
    <t xml:space="preserve">E1</t>
  </si>
  <si>
    <t xml:space="preserve">E2</t>
  </si>
  <si>
    <t xml:space="preserve">E3</t>
  </si>
  <si>
    <t xml:space="preserve">E4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</si>
</sst>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0.28"/>
    <col collapsed="false" customWidth="true" hidden="false" outlineLevel="0" max="3" min="3" style="0" width="5.46"/>
    <col collapsed="false" customWidth="true" hidden="false" outlineLevel="0" max="4" min="4" style="0" width="6.98"/>
    <col collapsed="false" customWidth="true" hidden="false" outlineLevel="0" max="5" min="5" style="0" width="8.94"/>
    <col collapsed="false" customWidth="true" hidden="false" outlineLevel="0" max="6" min="6" style="0" width="7.95"/>
    <col collapsed="false" customWidth="true" hidden="false" outlineLevel="0" max="7" min="7" style="0" width="2.92"/>
    <col collapsed="false" customWidth="true" hidden="false" outlineLevel="0" max="8" min="8" style="0" width="5.46"/>
    <col collapsed="false" customWidth="true" hidden="false" outlineLevel="0" max="10" min="9" style="0" width="8.94"/>
    <col collapsed="false" customWidth="true" hidden="false" outlineLevel="0" max="11" min="11" style="0" width="7.95"/>
    <col collapsed="false" customWidth="true" hidden="false" outlineLevel="0" max="12" min="12" style="0" width="3.33"/>
    <col collapsed="false" customWidth="true" hidden="false" outlineLevel="0" max="14" min="13" style="0" width="5.46"/>
    <col collapsed="false" customWidth="true" hidden="false" outlineLevel="0" max="16" min="15" style="0" width="8.94"/>
    <col collapsed="false" customWidth="true" hidden="false" outlineLevel="0" max="17" min="17" style="0" width="3.19"/>
    <col collapsed="false" customWidth="true" hidden="false" outlineLevel="0" max="19" min="18" style="0" width="5.46"/>
    <col collapsed="false" customWidth="true" hidden="false" outlineLevel="0" max="21" min="20" style="0" width="8.94"/>
    <col collapsed="false" customWidth="true" hidden="false" outlineLevel="0" max="22" min="22" style="0" width="4.86"/>
    <col collapsed="false" customWidth="true" hidden="false" outlineLevel="0" max="24" min="24" style="0" width="5.46"/>
    <col collapsed="false" customWidth="true" hidden="false" outlineLevel="0" max="26" min="25" style="0" width="7.95"/>
  </cols>
  <sheetData>
    <row r="1" customFormat="false" ht="12.8" hidden="false" customHeight="false" outlineLevel="0" collapsed="false">
      <c r="B1" s="0" t="s">
        <v>0</v>
      </c>
      <c r="C1" s="1" t="s">
        <v>1</v>
      </c>
      <c r="D1" s="1"/>
      <c r="E1" s="1"/>
      <c r="F1" s="1"/>
      <c r="H1" s="1" t="s">
        <v>2</v>
      </c>
      <c r="I1" s="1"/>
      <c r="J1" s="1"/>
      <c r="K1" s="1"/>
      <c r="M1" s="1" t="s">
        <v>3</v>
      </c>
      <c r="N1" s="1"/>
      <c r="O1" s="1"/>
      <c r="P1" s="1"/>
      <c r="R1" s="1" t="s">
        <v>4</v>
      </c>
      <c r="S1" s="1"/>
      <c r="T1" s="1"/>
      <c r="U1" s="1"/>
      <c r="W1" s="1" t="s">
        <v>5</v>
      </c>
      <c r="X1" s="1"/>
      <c r="Y1" s="1"/>
      <c r="Z1" s="1"/>
    </row>
    <row r="2" customFormat="false" ht="12.8" hidden="false" customHeight="false" outlineLevel="0" collapsed="false">
      <c r="B2" s="2" t="s">
        <v>6</v>
      </c>
      <c r="C2" s="2" t="n">
        <v>1987</v>
      </c>
      <c r="D2" s="3" t="n">
        <v>1995</v>
      </c>
      <c r="E2" s="3" t="n">
        <v>2011</v>
      </c>
      <c r="F2" s="3" t="n">
        <v>2020</v>
      </c>
      <c r="G2" s="3"/>
      <c r="H2" s="3" t="n">
        <v>1987</v>
      </c>
      <c r="I2" s="3" t="n">
        <v>1995</v>
      </c>
      <c r="J2" s="3" t="n">
        <v>2011</v>
      </c>
      <c r="K2" s="3" t="n">
        <v>2020</v>
      </c>
      <c r="L2" s="3"/>
      <c r="M2" s="3" t="n">
        <v>1987</v>
      </c>
      <c r="N2" s="3" t="n">
        <v>1995</v>
      </c>
      <c r="O2" s="3" t="n">
        <v>2011</v>
      </c>
      <c r="P2" s="3" t="n">
        <v>2020</v>
      </c>
      <c r="Q2" s="3"/>
      <c r="R2" s="3" t="n">
        <v>1987</v>
      </c>
      <c r="S2" s="3" t="n">
        <v>1995</v>
      </c>
      <c r="T2" s="3" t="n">
        <v>2011</v>
      </c>
      <c r="U2" s="3" t="n">
        <v>2020</v>
      </c>
      <c r="V2" s="3"/>
      <c r="W2" s="3" t="n">
        <v>1987</v>
      </c>
      <c r="X2" s="3" t="n">
        <v>1995</v>
      </c>
      <c r="Y2" s="3" t="n">
        <v>2011</v>
      </c>
      <c r="Z2" s="3" t="n">
        <v>2020</v>
      </c>
    </row>
    <row r="3" customFormat="false" ht="12.8" hidden="false" customHeight="false" outlineLevel="0" collapsed="false">
      <c r="A3" s="2"/>
      <c r="B3" s="2" t="s">
        <v>7</v>
      </c>
      <c r="C3" s="2" t="s">
        <v>8</v>
      </c>
      <c r="D3" s="3" t="n">
        <v>8</v>
      </c>
      <c r="E3" s="3" t="n">
        <v>24</v>
      </c>
      <c r="F3" s="3" t="n">
        <v>33</v>
      </c>
      <c r="G3" s="3"/>
      <c r="H3" s="3" t="s">
        <v>8</v>
      </c>
      <c r="I3" s="3" t="n">
        <v>8</v>
      </c>
      <c r="J3" s="3" t="n">
        <v>24</v>
      </c>
      <c r="K3" s="3" t="n">
        <v>33</v>
      </c>
      <c r="L3" s="3"/>
      <c r="M3" s="3" t="s">
        <v>8</v>
      </c>
      <c r="N3" s="3" t="s">
        <v>8</v>
      </c>
      <c r="O3" s="3" t="n">
        <v>11</v>
      </c>
      <c r="P3" s="3" t="n">
        <v>20</v>
      </c>
      <c r="Q3" s="3"/>
      <c r="R3" s="3" t="s">
        <v>8</v>
      </c>
      <c r="S3" s="3" t="s">
        <v>8</v>
      </c>
      <c r="T3" s="3" t="n">
        <v>11</v>
      </c>
      <c r="U3" s="3" t="n">
        <v>20</v>
      </c>
      <c r="V3" s="3"/>
      <c r="W3" s="3" t="n">
        <v>12</v>
      </c>
      <c r="X3" s="3" t="s">
        <v>8</v>
      </c>
      <c r="Y3" s="3" t="n">
        <v>36</v>
      </c>
      <c r="Z3" s="3" t="n">
        <v>45</v>
      </c>
    </row>
    <row r="4" customFormat="false" ht="12.8" hidden="false" customHeight="false" outlineLevel="0" collapsed="false">
      <c r="A4" s="4" t="s">
        <v>9</v>
      </c>
      <c r="B4" s="0" t="s">
        <v>10</v>
      </c>
      <c r="C4" s="5" t="s">
        <v>8</v>
      </c>
      <c r="D4" s="6" t="n">
        <v>163</v>
      </c>
      <c r="E4" s="7" t="n">
        <v>106.666666666667</v>
      </c>
      <c r="F4" s="7" t="n">
        <v>57</v>
      </c>
      <c r="G4" s="6"/>
      <c r="H4" s="6" t="s">
        <v>8</v>
      </c>
      <c r="I4" s="7" t="n">
        <v>161.4</v>
      </c>
      <c r="J4" s="7" t="n">
        <v>127</v>
      </c>
      <c r="K4" s="7" t="n">
        <v>74.6</v>
      </c>
      <c r="L4" s="6"/>
      <c r="M4" s="6" t="s">
        <v>8</v>
      </c>
      <c r="N4" s="6" t="s">
        <v>8</v>
      </c>
      <c r="O4" s="7" t="n">
        <v>131.6</v>
      </c>
      <c r="P4" s="7" t="n">
        <v>121</v>
      </c>
      <c r="Q4" s="6"/>
      <c r="R4" s="6" t="s">
        <v>8</v>
      </c>
      <c r="S4" s="6" t="s">
        <v>8</v>
      </c>
      <c r="T4" s="7" t="n">
        <v>164.8</v>
      </c>
      <c r="U4" s="7" t="n">
        <v>132.6</v>
      </c>
      <c r="V4" s="6"/>
      <c r="W4" s="7" t="n">
        <v>157.6</v>
      </c>
      <c r="X4" s="6" t="s">
        <v>8</v>
      </c>
      <c r="Y4" s="7" t="n">
        <v>73.2</v>
      </c>
      <c r="Z4" s="7" t="n">
        <v>55.6</v>
      </c>
    </row>
    <row r="5" customFormat="false" ht="12.8" hidden="false" customHeight="false" outlineLevel="0" collapsed="false">
      <c r="A5" s="4"/>
      <c r="B5" s="0" t="s">
        <v>11</v>
      </c>
      <c r="C5" s="5" t="s">
        <v>8</v>
      </c>
      <c r="D5" s="7" t="n">
        <v>4.58257569495584</v>
      </c>
      <c r="E5" s="7" t="n">
        <v>9.71253485622231</v>
      </c>
      <c r="F5" s="7" t="n">
        <v>2.64575131106459</v>
      </c>
      <c r="G5" s="6"/>
      <c r="H5" s="6" t="s">
        <v>8</v>
      </c>
      <c r="I5" s="7" t="n">
        <v>6.14817045957576</v>
      </c>
      <c r="J5" s="7" t="n">
        <v>13</v>
      </c>
      <c r="K5" s="7" t="n">
        <v>15.4854770672395</v>
      </c>
      <c r="L5" s="6"/>
      <c r="M5" s="6" t="s">
        <v>8</v>
      </c>
      <c r="N5" s="6" t="s">
        <v>8</v>
      </c>
      <c r="O5" s="7" t="n">
        <v>26.235472170327</v>
      </c>
      <c r="P5" s="7" t="n">
        <v>22.726636354727</v>
      </c>
      <c r="Q5" s="6"/>
      <c r="R5" s="6" t="s">
        <v>8</v>
      </c>
      <c r="S5" s="6" t="s">
        <v>8</v>
      </c>
      <c r="T5" s="7" t="n">
        <v>21.7990825495019</v>
      </c>
      <c r="U5" s="7" t="n">
        <v>12.5618469979538</v>
      </c>
      <c r="V5" s="6"/>
      <c r="W5" s="7" t="n">
        <v>17.2568826848884</v>
      </c>
      <c r="X5" s="6" t="s">
        <v>8</v>
      </c>
      <c r="Y5" s="7" t="n">
        <v>10.0349389634417</v>
      </c>
      <c r="Z5" s="7" t="n">
        <v>9.07193474403338</v>
      </c>
    </row>
    <row r="6" customFormat="false" ht="12.8" hidden="false" customHeight="false" outlineLevel="0" collapsed="false">
      <c r="A6" s="4"/>
      <c r="B6" s="0" t="s">
        <v>12</v>
      </c>
      <c r="C6" s="5" t="s">
        <v>8</v>
      </c>
      <c r="D6" s="7" t="n">
        <v>2.64575131106459</v>
      </c>
      <c r="E6" s="7" t="n">
        <v>5.60753461375357</v>
      </c>
      <c r="F6" s="7" t="n">
        <v>1.52752523165195</v>
      </c>
      <c r="G6" s="6"/>
      <c r="H6" s="6" t="s">
        <v>8</v>
      </c>
      <c r="I6" s="7" t="n">
        <v>2.7495454169735</v>
      </c>
      <c r="J6" s="7" t="n">
        <v>5.81377674149945</v>
      </c>
      <c r="K6" s="7" t="n">
        <v>6.92531587727231</v>
      </c>
      <c r="L6" s="6"/>
      <c r="M6" s="6" t="s">
        <v>8</v>
      </c>
      <c r="N6" s="6" t="s">
        <v>8</v>
      </c>
      <c r="O6" s="7" t="n">
        <v>11.732859838931</v>
      </c>
      <c r="P6" s="7" t="n">
        <v>10.1636607578175</v>
      </c>
      <c r="Q6" s="6"/>
      <c r="R6" s="6" t="s">
        <v>8</v>
      </c>
      <c r="S6" s="6" t="s">
        <v>8</v>
      </c>
      <c r="T6" s="7" t="n">
        <v>9.74884608556315</v>
      </c>
      <c r="U6" s="7" t="n">
        <v>5.61782876207526</v>
      </c>
      <c r="V6" s="6"/>
      <c r="W6" s="7" t="n">
        <v>7.7175125526299</v>
      </c>
      <c r="X6" s="6" t="s">
        <v>8</v>
      </c>
      <c r="Y6" s="7" t="n">
        <v>4.48776113446337</v>
      </c>
      <c r="Z6" s="7" t="n">
        <v>4.05709255502016</v>
      </c>
    </row>
    <row r="7" customFormat="false" ht="12.8" hidden="false" customHeight="false" outlineLevel="0" collapsed="false">
      <c r="A7" s="4"/>
      <c r="B7" s="2" t="s">
        <v>13</v>
      </c>
      <c r="C7" s="2" t="s">
        <v>8</v>
      </c>
      <c r="D7" s="3" t="n">
        <v>489</v>
      </c>
      <c r="E7" s="3" t="n">
        <v>320</v>
      </c>
      <c r="F7" s="3" t="n">
        <v>171</v>
      </c>
      <c r="G7" s="3"/>
      <c r="H7" s="3" t="s">
        <v>8</v>
      </c>
      <c r="I7" s="3" t="n">
        <v>807</v>
      </c>
      <c r="J7" s="3" t="n">
        <v>635</v>
      </c>
      <c r="K7" s="3" t="n">
        <v>373</v>
      </c>
      <c r="L7" s="3"/>
      <c r="M7" s="3" t="s">
        <v>8</v>
      </c>
      <c r="N7" s="3" t="s">
        <v>8</v>
      </c>
      <c r="O7" s="3" t="n">
        <v>658</v>
      </c>
      <c r="P7" s="3" t="n">
        <v>605</v>
      </c>
      <c r="Q7" s="3"/>
      <c r="R7" s="3" t="s">
        <v>8</v>
      </c>
      <c r="S7" s="3" t="s">
        <v>8</v>
      </c>
      <c r="T7" s="3" t="n">
        <v>824</v>
      </c>
      <c r="U7" s="3" t="n">
        <v>663</v>
      </c>
      <c r="V7" s="3"/>
      <c r="W7" s="3" t="n">
        <v>788</v>
      </c>
      <c r="X7" s="3" t="s">
        <v>8</v>
      </c>
      <c r="Y7" s="3" t="n">
        <v>366</v>
      </c>
      <c r="Z7" s="3" t="n">
        <v>278</v>
      </c>
    </row>
    <row r="8" customFormat="false" ht="12.8" hidden="false" customHeight="true" outlineLevel="0" collapsed="false">
      <c r="A8" s="8" t="s">
        <v>14</v>
      </c>
      <c r="B8" s="0" t="s">
        <v>10</v>
      </c>
      <c r="C8" s="5" t="s">
        <v>8</v>
      </c>
      <c r="D8" s="7" t="n">
        <v>4.72496666666667</v>
      </c>
      <c r="E8" s="7" t="n">
        <v>33.9344</v>
      </c>
      <c r="F8" s="7" t="n">
        <v>33.2835333333333</v>
      </c>
      <c r="G8" s="6"/>
      <c r="H8" s="6" t="s">
        <v>8</v>
      </c>
      <c r="I8" s="7" t="n">
        <v>1.43782</v>
      </c>
      <c r="J8" s="7" t="n">
        <v>30.5805</v>
      </c>
      <c r="K8" s="7" t="n">
        <v>34.11528</v>
      </c>
      <c r="L8" s="6"/>
      <c r="M8" s="6" t="s">
        <v>8</v>
      </c>
      <c r="N8" s="6" t="s">
        <v>8</v>
      </c>
      <c r="O8" s="7" t="n">
        <v>10.84866</v>
      </c>
      <c r="P8" s="7" t="n">
        <v>27.77774</v>
      </c>
      <c r="Q8" s="6"/>
      <c r="R8" s="6" t="s">
        <v>8</v>
      </c>
      <c r="S8" s="6" t="s">
        <v>8</v>
      </c>
      <c r="T8" s="7" t="n">
        <v>7.9014</v>
      </c>
      <c r="U8" s="7" t="n">
        <v>19.07608</v>
      </c>
      <c r="V8" s="6"/>
      <c r="W8" s="7" t="n">
        <v>8.08154</v>
      </c>
      <c r="X8" s="6" t="s">
        <v>8</v>
      </c>
      <c r="Y8" s="7" t="n">
        <v>43.9751</v>
      </c>
      <c r="Z8" s="7" t="n">
        <v>46.40534</v>
      </c>
    </row>
    <row r="9" customFormat="false" ht="12.8" hidden="false" customHeight="false" outlineLevel="0" collapsed="false">
      <c r="A9" s="8"/>
      <c r="B9" s="0" t="s">
        <v>11</v>
      </c>
      <c r="C9" s="5" t="s">
        <v>8</v>
      </c>
      <c r="D9" s="7" t="n">
        <v>0.832123129911273</v>
      </c>
      <c r="E9" s="7" t="n">
        <v>3.82036102613352</v>
      </c>
      <c r="F9" s="7" t="n">
        <v>1.20084043208635</v>
      </c>
      <c r="G9" s="6"/>
      <c r="H9" s="6" t="s">
        <v>8</v>
      </c>
      <c r="I9" s="7" t="n">
        <v>0.650576837890806</v>
      </c>
      <c r="J9" s="7" t="n">
        <v>7.67515207438915</v>
      </c>
      <c r="K9" s="7" t="n">
        <v>9.68739742304403</v>
      </c>
      <c r="L9" s="6"/>
      <c r="M9" s="6" t="s">
        <v>8</v>
      </c>
      <c r="N9" s="6" t="s">
        <v>8</v>
      </c>
      <c r="O9" s="7" t="n">
        <v>2.04199893805065</v>
      </c>
      <c r="P9" s="7" t="n">
        <v>4.11772102175463</v>
      </c>
      <c r="Q9" s="6"/>
      <c r="R9" s="6" t="s">
        <v>8</v>
      </c>
      <c r="S9" s="6" t="s">
        <v>8</v>
      </c>
      <c r="T9" s="7" t="n">
        <v>1.45531372734541</v>
      </c>
      <c r="U9" s="7" t="n">
        <v>3.27988423149354</v>
      </c>
      <c r="V9" s="6"/>
      <c r="W9" s="7" t="n">
        <v>1.2062516582372</v>
      </c>
      <c r="X9" s="6" t="s">
        <v>8</v>
      </c>
      <c r="Y9" s="7" t="n">
        <v>6.98306103832696</v>
      </c>
      <c r="Z9" s="7" t="n">
        <v>10.2308005118368</v>
      </c>
    </row>
    <row r="10" customFormat="false" ht="12.8" hidden="false" customHeight="false" outlineLevel="0" collapsed="false">
      <c r="A10" s="8"/>
      <c r="B10" s="2" t="s">
        <v>12</v>
      </c>
      <c r="C10" s="2" t="s">
        <v>8</v>
      </c>
      <c r="D10" s="9" t="n">
        <v>0.480426513053187</v>
      </c>
      <c r="E10" s="9" t="n">
        <v>2.20568646683975</v>
      </c>
      <c r="F10" s="9" t="n">
        <v>0.693305546718841</v>
      </c>
      <c r="G10" s="3"/>
      <c r="H10" s="3" t="s">
        <v>8</v>
      </c>
      <c r="I10" s="9" t="n">
        <v>0.290946806822141</v>
      </c>
      <c r="J10" s="9" t="n">
        <v>3.43243235519653</v>
      </c>
      <c r="K10" s="9" t="n">
        <v>4.33233583259655</v>
      </c>
      <c r="L10" s="3"/>
      <c r="M10" s="3" t="s">
        <v>8</v>
      </c>
      <c r="N10" s="3" t="s">
        <v>8</v>
      </c>
      <c r="O10" s="9" t="n">
        <v>0.913209687092729</v>
      </c>
      <c r="P10" s="9" t="n">
        <v>1.84150082340465</v>
      </c>
      <c r="Q10" s="3"/>
      <c r="R10" s="3" t="s">
        <v>8</v>
      </c>
      <c r="S10" s="3" t="s">
        <v>8</v>
      </c>
      <c r="T10" s="9" t="n">
        <v>0.650836084586588</v>
      </c>
      <c r="U10" s="9" t="n">
        <v>1.46680881998984</v>
      </c>
      <c r="V10" s="3"/>
      <c r="W10" s="9" t="n">
        <v>0.539452141158046</v>
      </c>
      <c r="X10" s="3" t="s">
        <v>8</v>
      </c>
      <c r="Y10" s="9" t="n">
        <v>3.12291983454587</v>
      </c>
      <c r="Z10" s="9" t="n">
        <v>4.57535308174134</v>
      </c>
    </row>
  </sheetData>
  <mergeCells count="7">
    <mergeCell ref="C1:F1"/>
    <mergeCell ref="H1:K1"/>
    <mergeCell ref="M1:P1"/>
    <mergeCell ref="R1:U1"/>
    <mergeCell ref="W1:Z1"/>
    <mergeCell ref="A4:A7"/>
    <mergeCell ref="A8:A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0"/>
  <sheetViews>
    <sheetView showFormulas="false" showGridLines="true" showRowColHeaders="true" showZeros="true" rightToLeft="false" tabSelected="false" showOutlineSymbols="true" defaultGridColor="true" view="normal" topLeftCell="C19" colorId="64" zoomScale="100" zoomScaleNormal="100" zoomScalePageLayoutView="100" workbookViewId="0">
      <selection pane="topLeft" activeCell="L56" activeCellId="0" sqref="L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5.04"/>
    <col collapsed="false" customWidth="true" hidden="false" outlineLevel="0" max="3" min="3" style="0" width="5.32"/>
    <col collapsed="false" customWidth="true" hidden="false" outlineLevel="0" max="4" min="4" style="0" width="5.46"/>
    <col collapsed="false" customWidth="true" hidden="false" outlineLevel="0" max="5" min="5" style="0" width="4.9"/>
    <col collapsed="false" customWidth="true" hidden="false" outlineLevel="0" max="6" min="6" style="0" width="5.73"/>
  </cols>
  <sheetData>
    <row r="1" customFormat="false" ht="12.8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6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n">
        <v>0</v>
      </c>
      <c r="D2" s="0" t="n">
        <v>1995</v>
      </c>
      <c r="E2" s="0" t="n">
        <v>158</v>
      </c>
      <c r="F2" s="0" t="n">
        <v>9</v>
      </c>
      <c r="G2" s="0" t="n">
        <v>5.1395</v>
      </c>
      <c r="H2" s="0" t="n">
        <f aca="false">AVERAGE(E2:E4)</f>
        <v>163</v>
      </c>
      <c r="I2" s="0" t="n">
        <f aca="false">STDEV(E2:E4)</f>
        <v>4.58257569495584</v>
      </c>
      <c r="J2" s="0" t="n">
        <f aca="false">STDEV(E2:E4)/SQRT(COUNT(E2:E4))</f>
        <v>2.64575131106459</v>
      </c>
      <c r="K2" s="0" t="n">
        <f aca="false">SUM(E2:E4)</f>
        <v>489</v>
      </c>
      <c r="L2" s="0" t="n">
        <f aca="false">AVERAGE(G2:G4)</f>
        <v>4.72496666666667</v>
      </c>
      <c r="M2" s="0" t="n">
        <f aca="false">STDEV(G2:G4)</f>
        <v>0.832123129911273</v>
      </c>
      <c r="N2" s="0" t="n">
        <f aca="false">STDEV(G2:G4)/SQRT(COUNT(G2:G4))</f>
        <v>0.480426513053187</v>
      </c>
    </row>
    <row r="3" customFormat="false" ht="12.8" hidden="false" customHeight="false" outlineLevel="0" collapsed="false">
      <c r="A3" s="0" t="s">
        <v>30</v>
      </c>
      <c r="B3" s="0" t="s">
        <v>29</v>
      </c>
      <c r="C3" s="0" t="n">
        <v>2</v>
      </c>
      <c r="D3" s="0" t="n">
        <v>1995</v>
      </c>
      <c r="E3" s="0" t="n">
        <v>164</v>
      </c>
      <c r="F3" s="0" t="n">
        <v>5</v>
      </c>
      <c r="G3" s="0" t="n">
        <v>5.2684</v>
      </c>
    </row>
    <row r="4" customFormat="false" ht="12.8" hidden="false" customHeight="false" outlineLevel="0" collapsed="false">
      <c r="A4" s="0" t="s">
        <v>31</v>
      </c>
      <c r="B4" s="0" t="s">
        <v>29</v>
      </c>
      <c r="C4" s="0" t="n">
        <v>4</v>
      </c>
      <c r="D4" s="0" t="n">
        <v>1995</v>
      </c>
      <c r="E4" s="0" t="n">
        <v>167</v>
      </c>
      <c r="F4" s="0" t="n">
        <v>1</v>
      </c>
      <c r="G4" s="0" t="n">
        <v>3.767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n">
        <v>0</v>
      </c>
      <c r="D5" s="0" t="n">
        <v>2011</v>
      </c>
      <c r="E5" s="0" t="n">
        <v>115</v>
      </c>
      <c r="F5" s="0" t="n">
        <v>52</v>
      </c>
      <c r="G5" s="0" t="n">
        <v>37.0423</v>
      </c>
      <c r="H5" s="0" t="n">
        <f aca="false">AVERAGE(E5:E7)</f>
        <v>106.666666666667</v>
      </c>
      <c r="I5" s="0" t="n">
        <f aca="false">STDEV(E5:E7)</f>
        <v>9.71253485622231</v>
      </c>
      <c r="J5" s="0" t="n">
        <f aca="false">STDEV(E5:E7)/SQRT(COUNT(E5:E7))</f>
        <v>5.60753461375357</v>
      </c>
      <c r="K5" s="0" t="n">
        <f aca="false">SUM(E5:E7)</f>
        <v>320</v>
      </c>
      <c r="L5" s="0" t="n">
        <f aca="false">AVERAGE(G5:G7)</f>
        <v>33.9344</v>
      </c>
      <c r="M5" s="0" t="n">
        <f aca="false">STDEV(G5:G7)</f>
        <v>3.82036102613352</v>
      </c>
      <c r="N5" s="0" t="n">
        <f aca="false">STDEV(G5:G7)/SQRT(COUNT(G5:G7))</f>
        <v>2.20568646683975</v>
      </c>
    </row>
    <row r="6" customFormat="false" ht="12.8" hidden="false" customHeight="false" outlineLevel="0" collapsed="false">
      <c r="A6" s="0" t="s">
        <v>30</v>
      </c>
      <c r="B6" s="0" t="s">
        <v>29</v>
      </c>
      <c r="C6" s="0" t="n">
        <v>2</v>
      </c>
      <c r="D6" s="0" t="n">
        <v>2011</v>
      </c>
      <c r="E6" s="0" t="n">
        <v>109</v>
      </c>
      <c r="F6" s="0" t="n">
        <v>60</v>
      </c>
      <c r="G6" s="0" t="n">
        <v>35.0917</v>
      </c>
    </row>
    <row r="7" customFormat="false" ht="12.8" hidden="false" customHeight="false" outlineLevel="0" collapsed="false">
      <c r="A7" s="0" t="s">
        <v>31</v>
      </c>
      <c r="B7" s="0" t="s">
        <v>29</v>
      </c>
      <c r="C7" s="0" t="n">
        <v>4</v>
      </c>
      <c r="D7" s="0" t="n">
        <v>2011</v>
      </c>
      <c r="E7" s="0" t="n">
        <v>96</v>
      </c>
      <c r="F7" s="0" t="n">
        <v>72</v>
      </c>
      <c r="G7" s="0" t="n">
        <v>29.6692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n">
        <v>0</v>
      </c>
      <c r="D8" s="0" t="n">
        <v>2020</v>
      </c>
      <c r="E8" s="0" t="n">
        <v>56</v>
      </c>
      <c r="F8" s="0" t="n">
        <v>111</v>
      </c>
      <c r="G8" s="0" t="n">
        <v>32.0163</v>
      </c>
      <c r="H8" s="0" t="n">
        <f aca="false">AVERAGE(E8:E10)</f>
        <v>57</v>
      </c>
      <c r="I8" s="0" t="n">
        <f aca="false">STDEV(E8:E10)</f>
        <v>2.64575131106459</v>
      </c>
      <c r="J8" s="0" t="n">
        <f aca="false">STDEV(E8:E10)/SQRT(COUNT(E8:E10))</f>
        <v>1.52752523165195</v>
      </c>
      <c r="K8" s="0" t="n">
        <f aca="false">SUM(E8:E10)</f>
        <v>171</v>
      </c>
      <c r="L8" s="0" t="n">
        <f aca="false">AVERAGE(G8:G10)</f>
        <v>33.2835333333333</v>
      </c>
      <c r="M8" s="0" t="n">
        <f aca="false">STDEV(G8:G10)</f>
        <v>1.20084043208635</v>
      </c>
      <c r="N8" s="0" t="n">
        <f aca="false">STDEV(G8:G10)/SQRT(COUNT(G8:G10))</f>
        <v>0.693305546718841</v>
      </c>
    </row>
    <row r="9" customFormat="false" ht="12.8" hidden="false" customHeight="false" outlineLevel="0" collapsed="false">
      <c r="A9" s="0" t="s">
        <v>30</v>
      </c>
      <c r="B9" s="0" t="s">
        <v>29</v>
      </c>
      <c r="C9" s="0" t="n">
        <v>2</v>
      </c>
      <c r="D9" s="0" t="n">
        <v>2020</v>
      </c>
      <c r="E9" s="0" t="n">
        <v>60</v>
      </c>
      <c r="F9" s="0" t="n">
        <v>109</v>
      </c>
      <c r="G9" s="0" t="n">
        <v>34.4046</v>
      </c>
    </row>
    <row r="10" customFormat="false" ht="12.8" hidden="false" customHeight="false" outlineLevel="0" collapsed="false">
      <c r="A10" s="0" t="s">
        <v>31</v>
      </c>
      <c r="B10" s="0" t="s">
        <v>29</v>
      </c>
      <c r="C10" s="0" t="n">
        <v>4</v>
      </c>
      <c r="D10" s="0" t="n">
        <v>2020</v>
      </c>
      <c r="E10" s="0" t="n">
        <v>55</v>
      </c>
      <c r="F10" s="0" t="n">
        <v>113</v>
      </c>
      <c r="G10" s="0" t="n">
        <v>33.4297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n">
        <v>0</v>
      </c>
      <c r="D11" s="0" t="n">
        <v>1995</v>
      </c>
      <c r="E11" s="0" t="n">
        <v>171</v>
      </c>
      <c r="F11" s="0" t="n">
        <v>1</v>
      </c>
      <c r="G11" s="0" t="n">
        <v>2.2662</v>
      </c>
      <c r="H11" s="0" t="n">
        <f aca="false">AVERAGE(E11:E15)</f>
        <v>161.4</v>
      </c>
      <c r="I11" s="0" t="n">
        <f aca="false">STDEV(E11:E15)</f>
        <v>6.14817045957576</v>
      </c>
      <c r="J11" s="0" t="n">
        <f aca="false">STDEV(E11:E15)/SQRT(COUNT(E11:E15))</f>
        <v>2.7495454169735</v>
      </c>
      <c r="K11" s="0" t="n">
        <f aca="false">SUM(E11:E15)</f>
        <v>807</v>
      </c>
      <c r="L11" s="0" t="n">
        <f aca="false">AVERAGE(G11:G15)</f>
        <v>1.43782</v>
      </c>
      <c r="M11" s="0" t="n">
        <f aca="false">STDEV(G11:G15)</f>
        <v>0.650576837890806</v>
      </c>
      <c r="N11" s="0" t="n">
        <f aca="false">STDEV(G11:G15)/SQRT(COUNT(G11:G15))</f>
        <v>0.290946806822141</v>
      </c>
    </row>
    <row r="12" customFormat="false" ht="12.8" hidden="false" customHeight="false" outlineLevel="0" collapsed="false">
      <c r="A12" s="0" t="s">
        <v>34</v>
      </c>
      <c r="B12" s="0" t="s">
        <v>33</v>
      </c>
      <c r="C12" s="0" t="n">
        <v>1</v>
      </c>
      <c r="D12" s="0" t="n">
        <v>1995</v>
      </c>
      <c r="E12" s="0" t="n">
        <v>160</v>
      </c>
      <c r="F12" s="0" t="n">
        <v>1</v>
      </c>
      <c r="G12" s="0" t="n">
        <v>1.3202</v>
      </c>
    </row>
    <row r="13" customFormat="false" ht="12.8" hidden="false" customHeight="false" outlineLevel="0" collapsed="false">
      <c r="A13" s="0" t="s">
        <v>35</v>
      </c>
      <c r="B13" s="0" t="s">
        <v>33</v>
      </c>
      <c r="C13" s="0" t="n">
        <v>2</v>
      </c>
      <c r="D13" s="0" t="n">
        <v>1995</v>
      </c>
      <c r="E13" s="0" t="n">
        <v>162</v>
      </c>
      <c r="F13" s="0" t="n">
        <v>0</v>
      </c>
      <c r="G13" s="0" t="n">
        <v>1.8471</v>
      </c>
    </row>
    <row r="14" customFormat="false" ht="12.8" hidden="false" customHeight="false" outlineLevel="0" collapsed="false">
      <c r="A14" s="0" t="s">
        <v>36</v>
      </c>
      <c r="B14" s="0" t="s">
        <v>33</v>
      </c>
      <c r="C14" s="0" t="n">
        <v>3</v>
      </c>
      <c r="D14" s="0" t="n">
        <v>1995</v>
      </c>
      <c r="E14" s="0" t="n">
        <v>160</v>
      </c>
      <c r="F14" s="0" t="n">
        <v>0</v>
      </c>
      <c r="G14" s="0" t="n">
        <v>1.1926</v>
      </c>
    </row>
    <row r="15" customFormat="false" ht="12.8" hidden="false" customHeight="false" outlineLevel="0" collapsed="false">
      <c r="A15" s="0" t="s">
        <v>37</v>
      </c>
      <c r="B15" s="0" t="s">
        <v>33</v>
      </c>
      <c r="C15" s="0" t="n">
        <v>4</v>
      </c>
      <c r="D15" s="0" t="n">
        <v>1995</v>
      </c>
      <c r="E15" s="0" t="n">
        <v>154</v>
      </c>
      <c r="F15" s="0" t="n">
        <v>0</v>
      </c>
      <c r="G15" s="0" t="n">
        <v>0.563</v>
      </c>
    </row>
    <row r="16" customFormat="false" ht="12.8" hidden="false" customHeight="false" outlineLevel="0" collapsed="false">
      <c r="A16" s="0" t="s">
        <v>32</v>
      </c>
      <c r="B16" s="0" t="s">
        <v>33</v>
      </c>
      <c r="C16" s="0" t="n">
        <v>0</v>
      </c>
      <c r="D16" s="0" t="n">
        <v>2011</v>
      </c>
      <c r="E16" s="0" t="n">
        <v>130</v>
      </c>
      <c r="F16" s="0" t="n">
        <v>47</v>
      </c>
      <c r="G16" s="0" t="n">
        <v>33.4759</v>
      </c>
      <c r="H16" s="0" t="n">
        <f aca="false">AVERAGE(E16:E20)</f>
        <v>127</v>
      </c>
      <c r="I16" s="0" t="n">
        <f aca="false">STDEV(E16:E20)</f>
        <v>13</v>
      </c>
      <c r="J16" s="0" t="n">
        <f aca="false">STDEV(E16:E20)/SQRT(COUNT(E16:E20))</f>
        <v>5.81377674149945</v>
      </c>
      <c r="K16" s="0" t="n">
        <f aca="false">SUM(E16:E20)</f>
        <v>635</v>
      </c>
      <c r="L16" s="0" t="n">
        <f aca="false">AVERAGE(G16:G20)</f>
        <v>30.5805</v>
      </c>
      <c r="M16" s="0" t="n">
        <f aca="false">STDEV(G16:G20)</f>
        <v>7.67515207438915</v>
      </c>
      <c r="N16" s="0" t="n">
        <f aca="false">STDEV(G16:G20)/SQRT(COUNT(G16:G20))</f>
        <v>3.43243235519653</v>
      </c>
    </row>
    <row r="17" customFormat="false" ht="12.8" hidden="false" customHeight="false" outlineLevel="0" collapsed="false">
      <c r="A17" s="0" t="s">
        <v>34</v>
      </c>
      <c r="B17" s="0" t="s">
        <v>33</v>
      </c>
      <c r="C17" s="0" t="n">
        <v>1</v>
      </c>
      <c r="D17" s="0" t="n">
        <v>2011</v>
      </c>
      <c r="E17" s="0" t="n">
        <v>128</v>
      </c>
      <c r="F17" s="0" t="n">
        <v>34</v>
      </c>
      <c r="G17" s="0" t="n">
        <v>36.0081</v>
      </c>
    </row>
    <row r="18" customFormat="false" ht="12.8" hidden="false" customHeight="false" outlineLevel="0" collapsed="false">
      <c r="A18" s="0" t="s">
        <v>35</v>
      </c>
      <c r="B18" s="0" t="s">
        <v>33</v>
      </c>
      <c r="C18" s="0" t="n">
        <v>2</v>
      </c>
      <c r="D18" s="0" t="n">
        <v>2011</v>
      </c>
      <c r="E18" s="0" t="n">
        <v>146</v>
      </c>
      <c r="F18" s="0" t="n">
        <v>16</v>
      </c>
      <c r="G18" s="0" t="n">
        <v>38.5792</v>
      </c>
    </row>
    <row r="19" customFormat="false" ht="12.8" hidden="false" customHeight="false" outlineLevel="0" collapsed="false">
      <c r="A19" s="0" t="s">
        <v>36</v>
      </c>
      <c r="B19" s="0" t="s">
        <v>33</v>
      </c>
      <c r="C19" s="0" t="n">
        <v>3</v>
      </c>
      <c r="D19" s="0" t="n">
        <v>2011</v>
      </c>
      <c r="E19" s="0" t="n">
        <v>120</v>
      </c>
      <c r="F19" s="0" t="n">
        <v>40</v>
      </c>
      <c r="G19" s="0" t="n">
        <v>22.9726</v>
      </c>
    </row>
    <row r="20" customFormat="false" ht="12.8" hidden="false" customHeight="false" outlineLevel="0" collapsed="false">
      <c r="A20" s="0" t="s">
        <v>37</v>
      </c>
      <c r="B20" s="0" t="s">
        <v>33</v>
      </c>
      <c r="C20" s="0" t="n">
        <v>4</v>
      </c>
      <c r="D20" s="0" t="n">
        <v>2011</v>
      </c>
      <c r="E20" s="0" t="n">
        <v>111</v>
      </c>
      <c r="F20" s="0" t="n">
        <v>43</v>
      </c>
      <c r="G20" s="0" t="n">
        <v>21.8667</v>
      </c>
    </row>
    <row r="21" customFormat="false" ht="12.8" hidden="false" customHeight="false" outlineLevel="0" collapsed="false">
      <c r="A21" s="0" t="s">
        <v>32</v>
      </c>
      <c r="B21" s="0" t="s">
        <v>33</v>
      </c>
      <c r="C21" s="0" t="n">
        <v>0</v>
      </c>
      <c r="D21" s="0" t="n">
        <v>2020</v>
      </c>
      <c r="E21" s="0" t="n">
        <v>58</v>
      </c>
      <c r="F21" s="0" t="n">
        <v>119</v>
      </c>
      <c r="G21" s="0" t="n">
        <v>28.6118</v>
      </c>
      <c r="H21" s="0" t="n">
        <f aca="false">AVERAGE(E21:E25)</f>
        <v>74.6</v>
      </c>
      <c r="I21" s="0" t="n">
        <f aca="false">STDEV(E21:E25)</f>
        <v>15.4854770672395</v>
      </c>
      <c r="J21" s="0" t="n">
        <f aca="false">STDEV(E21:E25)/SQRT(COUNT(E21:E25))</f>
        <v>6.92531587727231</v>
      </c>
      <c r="K21" s="0" t="n">
        <f aca="false">SUM(E21:E25)</f>
        <v>373</v>
      </c>
      <c r="L21" s="0" t="n">
        <f aca="false">AVERAGE(G21:G25)</f>
        <v>34.11528</v>
      </c>
      <c r="M21" s="0" t="n">
        <f aca="false">STDEV(G21:G25)</f>
        <v>9.68739742304403</v>
      </c>
      <c r="N21" s="0" t="n">
        <f aca="false">STDEV(G21:G25)/SQRT(COUNT(G21:G25))</f>
        <v>4.33233583259655</v>
      </c>
    </row>
    <row r="22" customFormat="false" ht="12.8" hidden="false" customHeight="false" outlineLevel="0" collapsed="false">
      <c r="A22" s="0" t="s">
        <v>34</v>
      </c>
      <c r="B22" s="0" t="s">
        <v>33</v>
      </c>
      <c r="C22" s="0" t="n">
        <v>1</v>
      </c>
      <c r="D22" s="0" t="n">
        <v>2020</v>
      </c>
      <c r="E22" s="0" t="n">
        <v>92</v>
      </c>
      <c r="F22" s="0" t="n">
        <v>70</v>
      </c>
      <c r="G22" s="0" t="n">
        <v>46.7134</v>
      </c>
    </row>
    <row r="23" customFormat="false" ht="12.8" hidden="false" customHeight="false" outlineLevel="0" collapsed="false">
      <c r="A23" s="0" t="s">
        <v>35</v>
      </c>
      <c r="B23" s="0" t="s">
        <v>33</v>
      </c>
      <c r="C23" s="0" t="n">
        <v>2</v>
      </c>
      <c r="D23" s="0" t="n">
        <v>2020</v>
      </c>
      <c r="E23" s="0" t="n">
        <v>90</v>
      </c>
      <c r="F23" s="0" t="n">
        <v>72</v>
      </c>
      <c r="G23" s="0" t="n">
        <v>42.3832</v>
      </c>
    </row>
    <row r="24" customFormat="false" ht="12.8" hidden="false" customHeight="false" outlineLevel="0" collapsed="false">
      <c r="A24" s="0" t="s">
        <v>36</v>
      </c>
      <c r="B24" s="0" t="s">
        <v>33</v>
      </c>
      <c r="C24" s="0" t="n">
        <v>3</v>
      </c>
      <c r="D24" s="0" t="n">
        <v>2020</v>
      </c>
      <c r="E24" s="0" t="n">
        <v>64</v>
      </c>
      <c r="F24" s="0" t="n">
        <v>96</v>
      </c>
      <c r="G24" s="0" t="n">
        <v>26.5318</v>
      </c>
    </row>
    <row r="25" customFormat="false" ht="12.8" hidden="false" customHeight="false" outlineLevel="0" collapsed="false">
      <c r="A25" s="0" t="s">
        <v>37</v>
      </c>
      <c r="B25" s="0" t="s">
        <v>33</v>
      </c>
      <c r="C25" s="0" t="n">
        <v>4</v>
      </c>
      <c r="D25" s="0" t="n">
        <v>2020</v>
      </c>
      <c r="E25" s="0" t="n">
        <v>69</v>
      </c>
      <c r="F25" s="0" t="n">
        <v>86</v>
      </c>
      <c r="G25" s="0" t="n">
        <v>26.3362</v>
      </c>
    </row>
    <row r="26" customFormat="false" ht="12.8" hidden="false" customHeight="false" outlineLevel="0" collapsed="false">
      <c r="A26" s="0" t="s">
        <v>38</v>
      </c>
      <c r="B26" s="0" t="s">
        <v>39</v>
      </c>
      <c r="C26" s="0" t="n">
        <v>0</v>
      </c>
      <c r="D26" s="0" t="n">
        <v>1987</v>
      </c>
      <c r="E26" s="0" t="n">
        <v>147</v>
      </c>
      <c r="F26" s="0" t="n">
        <v>2</v>
      </c>
      <c r="G26" s="0" t="n">
        <v>7.849</v>
      </c>
      <c r="H26" s="0" t="n">
        <f aca="false">AVERAGE(E26:E30)</f>
        <v>157.6</v>
      </c>
      <c r="I26" s="0" t="n">
        <f aca="false">STDEV(E26:E30)</f>
        <v>17.2568826848884</v>
      </c>
      <c r="J26" s="0" t="n">
        <f aca="false">STDEV(E26:E30)/SQRT(COUNT(E26:E30))</f>
        <v>7.7175125526299</v>
      </c>
      <c r="K26" s="0" t="n">
        <f aca="false">SUM(E26:E30)</f>
        <v>788</v>
      </c>
      <c r="L26" s="0" t="n">
        <f aca="false">AVERAGE(G26:G30)</f>
        <v>8.08154</v>
      </c>
      <c r="M26" s="0" t="n">
        <f aca="false">STDEV(G26:G30)</f>
        <v>1.2062516582372</v>
      </c>
      <c r="N26" s="0" t="n">
        <f aca="false">STDEV(G26:G30)/SQRT(COUNT(G26:G30))</f>
        <v>0.539452141158046</v>
      </c>
    </row>
    <row r="27" customFormat="false" ht="12.8" hidden="false" customHeight="false" outlineLevel="0" collapsed="false">
      <c r="A27" s="0" t="s">
        <v>40</v>
      </c>
      <c r="B27" s="0" t="s">
        <v>39</v>
      </c>
      <c r="C27" s="0" t="n">
        <v>1</v>
      </c>
      <c r="D27" s="0" t="n">
        <v>1987</v>
      </c>
      <c r="E27" s="0" t="n">
        <v>179</v>
      </c>
      <c r="F27" s="0" t="n">
        <v>1</v>
      </c>
      <c r="G27" s="0" t="n">
        <v>7.5539</v>
      </c>
    </row>
    <row r="28" customFormat="false" ht="12.8" hidden="false" customHeight="false" outlineLevel="0" collapsed="false">
      <c r="A28" s="0" t="s">
        <v>41</v>
      </c>
      <c r="B28" s="0" t="s">
        <v>39</v>
      </c>
      <c r="C28" s="0" t="n">
        <v>2</v>
      </c>
      <c r="D28" s="0" t="n">
        <v>1987</v>
      </c>
      <c r="E28" s="0" t="n">
        <v>173</v>
      </c>
      <c r="F28" s="0" t="n">
        <v>6</v>
      </c>
      <c r="G28" s="0" t="n">
        <v>7.473</v>
      </c>
    </row>
    <row r="29" customFormat="false" ht="12.8" hidden="false" customHeight="false" outlineLevel="0" collapsed="false">
      <c r="A29" s="0" t="s">
        <v>42</v>
      </c>
      <c r="B29" s="0" t="s">
        <v>39</v>
      </c>
      <c r="C29" s="0" t="n">
        <v>3</v>
      </c>
      <c r="D29" s="0" t="n">
        <v>1987</v>
      </c>
      <c r="E29" s="0" t="n">
        <v>149</v>
      </c>
      <c r="F29" s="0" t="n">
        <v>4</v>
      </c>
      <c r="G29" s="0" t="n">
        <v>7.3201</v>
      </c>
    </row>
    <row r="30" customFormat="false" ht="12.8" hidden="false" customHeight="false" outlineLevel="0" collapsed="false">
      <c r="A30" s="0" t="s">
        <v>43</v>
      </c>
      <c r="B30" s="0" t="s">
        <v>39</v>
      </c>
      <c r="C30" s="0" t="n">
        <v>4</v>
      </c>
      <c r="D30" s="0" t="n">
        <v>1987</v>
      </c>
      <c r="E30" s="0" t="n">
        <v>140</v>
      </c>
      <c r="F30" s="0" t="n">
        <v>16</v>
      </c>
      <c r="G30" s="0" t="n">
        <v>10.2117</v>
      </c>
    </row>
    <row r="31" customFormat="false" ht="12.8" hidden="false" customHeight="false" outlineLevel="0" collapsed="false">
      <c r="A31" s="0" t="s">
        <v>38</v>
      </c>
      <c r="B31" s="0" t="s">
        <v>39</v>
      </c>
      <c r="C31" s="0" t="n">
        <v>0</v>
      </c>
      <c r="D31" s="0" t="n">
        <v>2011</v>
      </c>
      <c r="E31" s="0" t="n">
        <v>65</v>
      </c>
      <c r="F31" s="0" t="n">
        <v>85</v>
      </c>
      <c r="G31" s="0" t="n">
        <v>33.3567</v>
      </c>
      <c r="H31" s="0" t="n">
        <f aca="false">AVERAGE(E31:E35)</f>
        <v>73.2</v>
      </c>
      <c r="I31" s="0" t="n">
        <f aca="false">STDEV(E31:E35)</f>
        <v>10.0349389634417</v>
      </c>
      <c r="J31" s="0" t="n">
        <f aca="false">STDEV(E31:E35)/SQRT(COUNT(E31:E35))</f>
        <v>4.48776113446337</v>
      </c>
      <c r="K31" s="0" t="n">
        <f aca="false">SUM(E31:E35)</f>
        <v>366</v>
      </c>
      <c r="L31" s="0" t="n">
        <f aca="false">AVERAGE(G31:G35)</f>
        <v>43.9751</v>
      </c>
      <c r="M31" s="0" t="n">
        <f aca="false">STDEV(G31:G35)</f>
        <v>6.98306103832696</v>
      </c>
      <c r="N31" s="0" t="n">
        <f aca="false">STDEV(G31:G35)/SQRT(COUNT(G31:G35))</f>
        <v>3.12291983454587</v>
      </c>
    </row>
    <row r="32" customFormat="false" ht="12.8" hidden="false" customHeight="false" outlineLevel="0" collapsed="false">
      <c r="A32" s="0" t="s">
        <v>40</v>
      </c>
      <c r="B32" s="0" t="s">
        <v>39</v>
      </c>
      <c r="C32" s="0" t="n">
        <v>1</v>
      </c>
      <c r="D32" s="0" t="n">
        <v>2011</v>
      </c>
      <c r="E32" s="0" t="n">
        <v>90</v>
      </c>
      <c r="F32" s="0" t="n">
        <v>90</v>
      </c>
      <c r="G32" s="0" t="n">
        <v>48.09</v>
      </c>
    </row>
    <row r="33" customFormat="false" ht="12.8" hidden="false" customHeight="false" outlineLevel="0" collapsed="false">
      <c r="A33" s="0" t="s">
        <v>41</v>
      </c>
      <c r="B33" s="0" t="s">
        <v>39</v>
      </c>
      <c r="C33" s="0" t="n">
        <v>2</v>
      </c>
      <c r="D33" s="0" t="n">
        <v>2011</v>
      </c>
      <c r="E33" s="0" t="n">
        <v>73</v>
      </c>
      <c r="F33" s="0" t="n">
        <v>106</v>
      </c>
      <c r="G33" s="0" t="n">
        <v>43.1629</v>
      </c>
    </row>
    <row r="34" customFormat="false" ht="12.8" hidden="false" customHeight="false" outlineLevel="0" collapsed="false">
      <c r="A34" s="0" t="s">
        <v>42</v>
      </c>
      <c r="B34" s="0" t="s">
        <v>39</v>
      </c>
      <c r="C34" s="0" t="n">
        <v>3</v>
      </c>
      <c r="D34" s="0" t="n">
        <v>2011</v>
      </c>
      <c r="E34" s="0" t="n">
        <v>66</v>
      </c>
      <c r="F34" s="0" t="n">
        <v>87</v>
      </c>
      <c r="G34" s="0" t="n">
        <v>51.989</v>
      </c>
    </row>
    <row r="35" customFormat="false" ht="12.8" hidden="false" customHeight="false" outlineLevel="0" collapsed="false">
      <c r="A35" s="0" t="s">
        <v>43</v>
      </c>
      <c r="B35" s="0" t="s">
        <v>39</v>
      </c>
      <c r="C35" s="0" t="n">
        <v>4</v>
      </c>
      <c r="D35" s="0" t="n">
        <v>2011</v>
      </c>
      <c r="E35" s="0" t="n">
        <v>72</v>
      </c>
      <c r="F35" s="0" t="n">
        <v>84</v>
      </c>
      <c r="G35" s="0" t="n">
        <v>43.2769</v>
      </c>
    </row>
    <row r="36" customFormat="false" ht="12.8" hidden="false" customHeight="false" outlineLevel="0" collapsed="false">
      <c r="A36" s="0" t="s">
        <v>38</v>
      </c>
      <c r="B36" s="0" t="s">
        <v>39</v>
      </c>
      <c r="C36" s="0" t="n">
        <v>0</v>
      </c>
      <c r="D36" s="0" t="n">
        <v>2020</v>
      </c>
      <c r="E36" s="0" t="n">
        <v>44</v>
      </c>
      <c r="F36" s="0" t="n">
        <v>106</v>
      </c>
      <c r="G36" s="0" t="n">
        <v>33.1431</v>
      </c>
      <c r="H36" s="0" t="n">
        <f aca="false">AVERAGE(E36:E40)</f>
        <v>55.6</v>
      </c>
      <c r="I36" s="0" t="n">
        <f aca="false">STDEV(E36:E40)</f>
        <v>9.07193474403338</v>
      </c>
      <c r="J36" s="0" t="n">
        <f aca="false">STDEV(E36:E40)/SQRT(COUNT(E36:E40))</f>
        <v>4.05709255502016</v>
      </c>
      <c r="K36" s="0" t="n">
        <f aca="false">SUM(E36:E40)</f>
        <v>278</v>
      </c>
      <c r="L36" s="0" t="n">
        <f aca="false">AVERAGE(G36:G40)</f>
        <v>46.40534</v>
      </c>
      <c r="M36" s="0" t="n">
        <f aca="false">STDEV(G36:G40)</f>
        <v>10.2308005118368</v>
      </c>
      <c r="N36" s="0" t="n">
        <f aca="false">STDEV(G36:G40)/SQRT(COUNT(G36:G40))</f>
        <v>4.57535308174134</v>
      </c>
    </row>
    <row r="37" customFormat="false" ht="12.8" hidden="false" customHeight="false" outlineLevel="0" collapsed="false">
      <c r="A37" s="0" t="s">
        <v>40</v>
      </c>
      <c r="B37" s="0" t="s">
        <v>39</v>
      </c>
      <c r="C37" s="0" t="n">
        <v>1</v>
      </c>
      <c r="D37" s="0" t="n">
        <v>2020</v>
      </c>
      <c r="E37" s="0" t="n">
        <v>66</v>
      </c>
      <c r="F37" s="0" t="n">
        <v>114</v>
      </c>
      <c r="G37" s="0" t="n">
        <v>51.1592</v>
      </c>
    </row>
    <row r="38" customFormat="false" ht="12.8" hidden="false" customHeight="false" outlineLevel="0" collapsed="false">
      <c r="A38" s="0" t="s">
        <v>41</v>
      </c>
      <c r="B38" s="0" t="s">
        <v>39</v>
      </c>
      <c r="C38" s="0" t="n">
        <v>2</v>
      </c>
      <c r="D38" s="0" t="n">
        <v>2020</v>
      </c>
      <c r="E38" s="0" t="n">
        <v>57</v>
      </c>
      <c r="F38" s="0" t="n">
        <v>122</v>
      </c>
      <c r="G38" s="0" t="n">
        <v>50.2177</v>
      </c>
    </row>
    <row r="39" customFormat="false" ht="12.8" hidden="false" customHeight="false" outlineLevel="0" collapsed="false">
      <c r="A39" s="0" t="s">
        <v>42</v>
      </c>
      <c r="B39" s="0" t="s">
        <v>39</v>
      </c>
      <c r="C39" s="0" t="n">
        <v>3</v>
      </c>
      <c r="D39" s="0" t="n">
        <v>2020</v>
      </c>
      <c r="E39" s="0" t="n">
        <v>62</v>
      </c>
      <c r="F39" s="0" t="n">
        <v>91</v>
      </c>
      <c r="G39" s="0" t="n">
        <v>58.6182</v>
      </c>
    </row>
    <row r="40" customFormat="false" ht="12.8" hidden="false" customHeight="false" outlineLevel="0" collapsed="false">
      <c r="A40" s="0" t="s">
        <v>43</v>
      </c>
      <c r="B40" s="0" t="s">
        <v>39</v>
      </c>
      <c r="C40" s="0" t="n">
        <v>4</v>
      </c>
      <c r="D40" s="0" t="n">
        <v>2020</v>
      </c>
      <c r="E40" s="0" t="n">
        <v>49</v>
      </c>
      <c r="F40" s="0" t="n">
        <v>107</v>
      </c>
      <c r="G40" s="0" t="n">
        <v>38.8885</v>
      </c>
    </row>
    <row r="41" customFormat="false" ht="12.8" hidden="false" customHeight="false" outlineLevel="0" collapsed="false">
      <c r="A41" s="0" t="s">
        <v>44</v>
      </c>
      <c r="B41" s="0" t="s">
        <v>45</v>
      </c>
      <c r="C41" s="0" t="n">
        <v>0</v>
      </c>
      <c r="D41" s="0" t="n">
        <v>2011</v>
      </c>
      <c r="E41" s="0" t="n">
        <v>146</v>
      </c>
      <c r="F41" s="0" t="n">
        <v>13</v>
      </c>
      <c r="G41" s="0" t="n">
        <v>12.5007</v>
      </c>
      <c r="H41" s="0" t="n">
        <f aca="false">AVERAGE(E41:E45)</f>
        <v>131.6</v>
      </c>
      <c r="I41" s="0" t="n">
        <f aca="false">STDEV(E41:E45)</f>
        <v>26.235472170327</v>
      </c>
      <c r="J41" s="0" t="n">
        <f aca="false">STDEV(E41:E45)/SQRT(COUNT(E41:E45))</f>
        <v>11.732859838931</v>
      </c>
      <c r="K41" s="0" t="n">
        <f aca="false">SUM(E41:E45)</f>
        <v>658</v>
      </c>
      <c r="L41" s="0" t="n">
        <f aca="false">AVERAGE(G41:G45)</f>
        <v>10.84866</v>
      </c>
      <c r="M41" s="0" t="n">
        <f aca="false">STDEV(G41:G45)</f>
        <v>2.04199893805065</v>
      </c>
      <c r="N41" s="0" t="n">
        <f aca="false">STDEV(G41:G45)/SQRT(COUNT(G41:G45))</f>
        <v>0.913209687092729</v>
      </c>
    </row>
    <row r="42" customFormat="false" ht="12.8" hidden="false" customHeight="false" outlineLevel="0" collapsed="false">
      <c r="A42" s="0" t="s">
        <v>46</v>
      </c>
      <c r="B42" s="0" t="s">
        <v>45</v>
      </c>
      <c r="C42" s="0" t="n">
        <v>1</v>
      </c>
      <c r="D42" s="0" t="n">
        <v>2011</v>
      </c>
      <c r="E42" s="0" t="n">
        <v>169</v>
      </c>
      <c r="F42" s="0" t="n">
        <v>6</v>
      </c>
      <c r="G42" s="0" t="n">
        <v>13.0183</v>
      </c>
    </row>
    <row r="43" customFormat="false" ht="12.8" hidden="false" customHeight="false" outlineLevel="0" collapsed="false">
      <c r="A43" s="0" t="s">
        <v>47</v>
      </c>
      <c r="B43" s="0" t="s">
        <v>45</v>
      </c>
      <c r="C43" s="0" t="n">
        <v>2</v>
      </c>
      <c r="D43" s="0" t="n">
        <v>2011</v>
      </c>
      <c r="E43" s="0" t="n">
        <v>102</v>
      </c>
      <c r="F43" s="0" t="n">
        <v>9</v>
      </c>
      <c r="G43" s="0" t="n">
        <v>8.4336</v>
      </c>
    </row>
    <row r="44" customFormat="false" ht="12.8" hidden="false" customHeight="false" outlineLevel="0" collapsed="false">
      <c r="A44" s="0" t="s">
        <v>48</v>
      </c>
      <c r="B44" s="0" t="s">
        <v>45</v>
      </c>
      <c r="C44" s="0" t="n">
        <v>3</v>
      </c>
      <c r="D44" s="0" t="n">
        <v>2011</v>
      </c>
      <c r="E44" s="0" t="n">
        <v>124</v>
      </c>
      <c r="F44" s="0" t="n">
        <v>19</v>
      </c>
      <c r="G44" s="0" t="n">
        <v>11.2455</v>
      </c>
    </row>
    <row r="45" customFormat="false" ht="12.8" hidden="false" customHeight="false" outlineLevel="0" collapsed="false">
      <c r="A45" s="0" t="s">
        <v>49</v>
      </c>
      <c r="B45" s="0" t="s">
        <v>45</v>
      </c>
      <c r="C45" s="0" t="n">
        <v>4</v>
      </c>
      <c r="D45" s="0" t="n">
        <v>2011</v>
      </c>
      <c r="E45" s="0" t="n">
        <v>117</v>
      </c>
      <c r="F45" s="0" t="n">
        <v>33</v>
      </c>
      <c r="G45" s="0" t="n">
        <v>9.0452</v>
      </c>
    </row>
    <row r="46" customFormat="false" ht="12.8" hidden="false" customHeight="false" outlineLevel="0" collapsed="false">
      <c r="A46" s="0" t="s">
        <v>44</v>
      </c>
      <c r="B46" s="0" t="s">
        <v>45</v>
      </c>
      <c r="C46" s="0" t="n">
        <v>0</v>
      </c>
      <c r="D46" s="0" t="n">
        <v>2020</v>
      </c>
      <c r="E46" s="0" t="n">
        <v>133</v>
      </c>
      <c r="F46" s="0" t="n">
        <v>26</v>
      </c>
      <c r="G46" s="0" t="n">
        <v>31.5796</v>
      </c>
      <c r="H46" s="0" t="n">
        <f aca="false">AVERAGE(E46:E50)</f>
        <v>121</v>
      </c>
      <c r="I46" s="0" t="n">
        <f aca="false">STDEV(E46:E50)</f>
        <v>22.726636354727</v>
      </c>
      <c r="J46" s="0" t="n">
        <f aca="false">STDEV(E46:E50)/SQRT(COUNT(E46:E50))</f>
        <v>10.1636607578175</v>
      </c>
      <c r="K46" s="0" t="n">
        <f aca="false">SUM(E46:E50)</f>
        <v>605</v>
      </c>
      <c r="L46" s="0" t="n">
        <f aca="false">AVERAGE(G46:G50)</f>
        <v>27.77774</v>
      </c>
      <c r="M46" s="0" t="n">
        <f aca="false">STDEV(G46:G50)</f>
        <v>4.11772102175463</v>
      </c>
      <c r="N46" s="0" t="n">
        <f aca="false">STDEV(G46:G50)/SQRT(COUNT(G46:G50))</f>
        <v>1.84150082340465</v>
      </c>
    </row>
    <row r="47" customFormat="false" ht="12.8" hidden="false" customHeight="false" outlineLevel="0" collapsed="false">
      <c r="A47" s="0" t="s">
        <v>46</v>
      </c>
      <c r="B47" s="0" t="s">
        <v>45</v>
      </c>
      <c r="C47" s="0" t="n">
        <v>1</v>
      </c>
      <c r="D47" s="0" t="n">
        <v>2020</v>
      </c>
      <c r="E47" s="0" t="n">
        <v>154</v>
      </c>
      <c r="F47" s="0" t="n">
        <v>21</v>
      </c>
      <c r="G47" s="0" t="n">
        <v>32.8435</v>
      </c>
    </row>
    <row r="48" customFormat="false" ht="12.8" hidden="false" customHeight="false" outlineLevel="0" collapsed="false">
      <c r="A48" s="0" t="s">
        <v>47</v>
      </c>
      <c r="B48" s="0" t="s">
        <v>45</v>
      </c>
      <c r="C48" s="0" t="n">
        <v>2</v>
      </c>
      <c r="D48" s="0" t="n">
        <v>2020</v>
      </c>
      <c r="E48" s="0" t="n">
        <v>96</v>
      </c>
      <c r="F48" s="0" t="n">
        <v>15</v>
      </c>
      <c r="G48" s="0" t="n">
        <v>25.0289</v>
      </c>
    </row>
    <row r="49" customFormat="false" ht="12.8" hidden="false" customHeight="false" outlineLevel="0" collapsed="false">
      <c r="A49" s="0" t="s">
        <v>48</v>
      </c>
      <c r="B49" s="0" t="s">
        <v>45</v>
      </c>
      <c r="C49" s="0" t="n">
        <v>3</v>
      </c>
      <c r="D49" s="0" t="n">
        <v>2020</v>
      </c>
      <c r="E49" s="0" t="n">
        <v>109</v>
      </c>
      <c r="F49" s="0" t="n">
        <v>34</v>
      </c>
      <c r="G49" s="0" t="n">
        <v>23.8726</v>
      </c>
    </row>
    <row r="50" customFormat="false" ht="12.8" hidden="false" customHeight="false" outlineLevel="0" collapsed="false">
      <c r="A50" s="0" t="s">
        <v>49</v>
      </c>
      <c r="B50" s="0" t="s">
        <v>45</v>
      </c>
      <c r="C50" s="0" t="n">
        <v>4</v>
      </c>
      <c r="D50" s="0" t="n">
        <v>2020</v>
      </c>
      <c r="E50" s="0" t="n">
        <v>113</v>
      </c>
      <c r="F50" s="0" t="n">
        <v>37</v>
      </c>
      <c r="G50" s="0" t="n">
        <v>25.5641</v>
      </c>
    </row>
    <row r="51" customFormat="false" ht="12.8" hidden="false" customHeight="false" outlineLevel="0" collapsed="false">
      <c r="A51" s="0" t="s">
        <v>50</v>
      </c>
      <c r="B51" s="0" t="s">
        <v>51</v>
      </c>
      <c r="C51" s="0" t="n">
        <v>0</v>
      </c>
      <c r="D51" s="0" t="n">
        <v>2011</v>
      </c>
      <c r="E51" s="0" t="n">
        <v>149</v>
      </c>
      <c r="F51" s="0" t="n">
        <v>10</v>
      </c>
      <c r="G51" s="0" t="n">
        <v>9.4369</v>
      </c>
      <c r="H51" s="0" t="n">
        <f aca="false">AVERAGE(E51:E55)</f>
        <v>164.8</v>
      </c>
      <c r="I51" s="0" t="n">
        <f aca="false">STDEV(E51:E55)</f>
        <v>21.7990825495019</v>
      </c>
      <c r="J51" s="0" t="n">
        <f aca="false">STDEV(E51:E55)/SQRT(COUNT(E51:E55))</f>
        <v>9.74884608556315</v>
      </c>
      <c r="K51" s="0" t="n">
        <f aca="false">SUM(E51:E55)</f>
        <v>824</v>
      </c>
      <c r="L51" s="0" t="n">
        <f aca="false">AVERAGE(G51:G55)</f>
        <v>7.9014</v>
      </c>
      <c r="M51" s="0" t="n">
        <f aca="false">STDEV(G51:G55)</f>
        <v>1.45531372734541</v>
      </c>
      <c r="N51" s="0" t="n">
        <f aca="false">STDEV(G51:G55)/SQRT(COUNT(G51:G55))</f>
        <v>0.650836084586588</v>
      </c>
    </row>
    <row r="52" customFormat="false" ht="12.8" hidden="false" customHeight="false" outlineLevel="0" collapsed="false">
      <c r="A52" s="0" t="s">
        <v>52</v>
      </c>
      <c r="B52" s="0" t="s">
        <v>51</v>
      </c>
      <c r="C52" s="0" t="n">
        <v>1</v>
      </c>
      <c r="D52" s="0" t="n">
        <v>2011</v>
      </c>
      <c r="E52" s="0" t="n">
        <v>194</v>
      </c>
      <c r="F52" s="0" t="n">
        <v>9</v>
      </c>
      <c r="G52" s="0" t="n">
        <v>8.4959</v>
      </c>
    </row>
    <row r="53" customFormat="false" ht="12.8" hidden="false" customHeight="false" outlineLevel="0" collapsed="false">
      <c r="A53" s="0" t="s">
        <v>53</v>
      </c>
      <c r="B53" s="0" t="s">
        <v>51</v>
      </c>
      <c r="C53" s="0" t="n">
        <v>2</v>
      </c>
      <c r="D53" s="0" t="n">
        <v>2011</v>
      </c>
      <c r="E53" s="0" t="n">
        <v>181</v>
      </c>
      <c r="F53" s="0" t="n">
        <v>20</v>
      </c>
      <c r="G53" s="0" t="n">
        <v>8.7884</v>
      </c>
    </row>
    <row r="54" customFormat="false" ht="12.8" hidden="false" customHeight="false" outlineLevel="0" collapsed="false">
      <c r="A54" s="0" t="s">
        <v>54</v>
      </c>
      <c r="B54" s="0" t="s">
        <v>51</v>
      </c>
      <c r="C54" s="0" t="n">
        <v>3</v>
      </c>
      <c r="D54" s="0" t="n">
        <v>2011</v>
      </c>
      <c r="E54" s="0" t="n">
        <v>143</v>
      </c>
      <c r="F54" s="0" t="n">
        <v>29</v>
      </c>
      <c r="G54" s="0" t="n">
        <v>6.8526</v>
      </c>
    </row>
    <row r="55" customFormat="false" ht="12.8" hidden="false" customHeight="false" outlineLevel="0" collapsed="false">
      <c r="A55" s="0" t="s">
        <v>55</v>
      </c>
      <c r="B55" s="0" t="s">
        <v>51</v>
      </c>
      <c r="C55" s="0" t="n">
        <v>4</v>
      </c>
      <c r="D55" s="0" t="n">
        <v>2011</v>
      </c>
      <c r="E55" s="0" t="n">
        <v>157</v>
      </c>
      <c r="F55" s="0" t="n">
        <v>12</v>
      </c>
      <c r="G55" s="0" t="n">
        <v>5.9332</v>
      </c>
    </row>
    <row r="56" customFormat="false" ht="12.8" hidden="false" customHeight="false" outlineLevel="0" collapsed="false">
      <c r="A56" s="0" t="s">
        <v>50</v>
      </c>
      <c r="B56" s="0" t="s">
        <v>51</v>
      </c>
      <c r="C56" s="0" t="n">
        <v>0</v>
      </c>
      <c r="D56" s="0" t="n">
        <v>2020</v>
      </c>
      <c r="E56" s="0" t="n">
        <v>126</v>
      </c>
      <c r="F56" s="0" t="n">
        <v>33</v>
      </c>
      <c r="G56" s="0" t="n">
        <v>24.4144</v>
      </c>
      <c r="H56" s="0" t="n">
        <f aca="false">AVERAGE(E56:E60)</f>
        <v>132.6</v>
      </c>
      <c r="I56" s="0" t="n">
        <f aca="false">STDEV(E56:E60)</f>
        <v>12.5618469979538</v>
      </c>
      <c r="J56" s="0" t="n">
        <f aca="false">STDEV(E56:E60)/SQRT(COUNT(E56:E60))</f>
        <v>5.61782876207526</v>
      </c>
      <c r="K56" s="0" t="n">
        <f aca="false">SUM(E56:E60)</f>
        <v>663</v>
      </c>
      <c r="L56" s="0" t="n">
        <f aca="false">AVERAGE(G56:G60)</f>
        <v>19.07608</v>
      </c>
      <c r="M56" s="0" t="n">
        <f aca="false">STDEV(G56:G60)</f>
        <v>3.27988423149354</v>
      </c>
      <c r="N56" s="0" t="n">
        <f aca="false">STDEV(G56:G60)/SQRT(COUNT(G56:G60))</f>
        <v>1.46680881998984</v>
      </c>
    </row>
    <row r="57" customFormat="false" ht="12.8" hidden="false" customHeight="false" outlineLevel="0" collapsed="false">
      <c r="A57" s="0" t="s">
        <v>52</v>
      </c>
      <c r="B57" s="0" t="s">
        <v>51</v>
      </c>
      <c r="C57" s="0" t="n">
        <v>1</v>
      </c>
      <c r="D57" s="0" t="n">
        <v>2020</v>
      </c>
      <c r="E57" s="0" t="n">
        <v>126</v>
      </c>
      <c r="F57" s="0" t="n">
        <v>77</v>
      </c>
      <c r="G57" s="0" t="n">
        <v>16.1748</v>
      </c>
    </row>
    <row r="58" customFormat="false" ht="12.8" hidden="false" customHeight="false" outlineLevel="0" collapsed="false">
      <c r="A58" s="0" t="s">
        <v>53</v>
      </c>
      <c r="B58" s="0" t="s">
        <v>51</v>
      </c>
      <c r="C58" s="0" t="n">
        <v>2</v>
      </c>
      <c r="D58" s="0" t="n">
        <v>2020</v>
      </c>
      <c r="E58" s="0" t="n">
        <v>146</v>
      </c>
      <c r="F58" s="0" t="n">
        <v>55</v>
      </c>
      <c r="G58" s="0" t="n">
        <v>19.1722</v>
      </c>
    </row>
    <row r="59" customFormat="false" ht="12.8" hidden="false" customHeight="false" outlineLevel="0" collapsed="false">
      <c r="A59" s="0" t="s">
        <v>54</v>
      </c>
      <c r="B59" s="0" t="s">
        <v>51</v>
      </c>
      <c r="C59" s="0" t="n">
        <v>3</v>
      </c>
      <c r="D59" s="0" t="n">
        <v>2020</v>
      </c>
      <c r="E59" s="0" t="n">
        <v>119</v>
      </c>
      <c r="F59" s="0" t="n">
        <v>53</v>
      </c>
      <c r="G59" s="0" t="n">
        <v>16.6058</v>
      </c>
    </row>
    <row r="60" customFormat="false" ht="12.8" hidden="false" customHeight="false" outlineLevel="0" collapsed="false">
      <c r="A60" s="0" t="s">
        <v>55</v>
      </c>
      <c r="B60" s="0" t="s">
        <v>51</v>
      </c>
      <c r="C60" s="0" t="n">
        <v>4</v>
      </c>
      <c r="D60" s="0" t="n">
        <v>2020</v>
      </c>
      <c r="E60" s="0" t="n">
        <v>146</v>
      </c>
      <c r="F60" s="0" t="n">
        <v>23</v>
      </c>
      <c r="G60" s="0" t="n">
        <v>19.0132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2022-08-31T15:52:53Z</dcterms:created>
  <dc:creator/>
  <dc:description/>
  <dc:language>en-US</dc:language>
  <cp:lastModifiedBy/>
  <dcterms:modified xsi:type="dcterms:W3CDTF">2022-08-31T16:54:55Z</dcterms:modified>
  <cp:revision>14</cp:revision>
  <dc:subject/>
  <dc:title/>
</cp:coreProperties>
</file>