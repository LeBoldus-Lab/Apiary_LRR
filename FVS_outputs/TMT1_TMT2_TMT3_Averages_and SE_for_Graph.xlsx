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1E48C85A-B6CD-4186-9283-1A947D6D3BDF}" xr6:coauthVersionLast="47" xr6:coauthVersionMax="47" xr10:uidLastSave="{00000000-0000-0000-0000-000000000000}"/>
  <bookViews>
    <workbookView xWindow="-110" yWindow="-110" windowWidth="19420" windowHeight="1102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6" i="1" l="1"/>
  <c r="L45" i="1"/>
  <c r="L44" i="1"/>
  <c r="F45" i="1"/>
  <c r="F46" i="1"/>
  <c r="F44" i="1"/>
  <c r="E44" i="1"/>
  <c r="E46" i="1"/>
  <c r="E45" i="1"/>
  <c r="F2" i="1"/>
  <c r="M20" i="1"/>
  <c r="M19" i="1"/>
  <c r="M18" i="1"/>
  <c r="L20" i="1"/>
  <c r="L19" i="1"/>
  <c r="L18" i="1"/>
  <c r="L2" i="1"/>
  <c r="F20" i="1"/>
  <c r="F19" i="1"/>
  <c r="F18" i="1"/>
  <c r="E20" i="1"/>
  <c r="E19" i="1"/>
  <c r="E18" i="1"/>
  <c r="E2" i="1"/>
  <c r="M4" i="1"/>
  <c r="M3" i="1"/>
  <c r="M2" i="1"/>
  <c r="L4" i="1"/>
  <c r="L3" i="1"/>
  <c r="F4" i="1"/>
  <c r="F3" i="1"/>
  <c r="E4" i="1"/>
  <c r="E3" i="1"/>
</calcChain>
</file>

<file path=xl/sharedStrings.xml><?xml version="1.0" encoding="utf-8"?>
<sst xmlns="http://schemas.openxmlformats.org/spreadsheetml/2006/main" count="258" uniqueCount="26">
  <si>
    <t>TRMT1</t>
  </si>
  <si>
    <t>STND2</t>
  </si>
  <si>
    <t>A001</t>
  </si>
  <si>
    <t>1022</t>
  </si>
  <si>
    <t>1995</t>
  </si>
  <si>
    <t>2011</t>
  </si>
  <si>
    <t>2020</t>
  </si>
  <si>
    <t>STND4</t>
  </si>
  <si>
    <t>1044</t>
  </si>
  <si>
    <t>STND5</t>
  </si>
  <si>
    <t>1055</t>
  </si>
  <si>
    <t>Year</t>
  </si>
  <si>
    <t>Actual_ BA_fpa</t>
  </si>
  <si>
    <t>Mean_Actual_ BA_fpa</t>
  </si>
  <si>
    <t>SE</t>
  </si>
  <si>
    <t>FVS_BA_fpa</t>
  </si>
  <si>
    <t>TMT2</t>
  </si>
  <si>
    <t>STAND1</t>
  </si>
  <si>
    <t>TRMT2</t>
  </si>
  <si>
    <t>STND3</t>
  </si>
  <si>
    <t>Mean_FVS</t>
  </si>
  <si>
    <t>TMT3</t>
  </si>
  <si>
    <t>STAND2</t>
  </si>
  <si>
    <t>STAND3</t>
  </si>
  <si>
    <t>STAND4</t>
  </si>
  <si>
    <t>STAND5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</si>
</sst>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M70"/>
  <sheetViews>
    <sheetView tabSelected="1" topLeftCell="A38" workbookViewId="0">
      <selection activeCell="L42" sqref="L42"/>
    </sheetView>
  </sheetViews>
  <sheetFormatPr defaultRowHeight="14.5"/>
  <cols>
    <col min="4" max="4" width="20.1796875" customWidth="1"/>
    <col min="5" max="5" width="36.1796875" customWidth="1"/>
    <col min="11" max="11" width="20.36328125" customWidth="1"/>
  </cols>
  <sheetData>
    <row r="1" spans="1:1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H1" t="s">
        <v>0</v>
      </c>
      <c r="I1" t="s">
        <v>1</v>
      </c>
      <c r="J1" t="s">
        <v>11</v>
      </c>
      <c r="K1" t="s">
        <v>15</v>
      </c>
      <c r="L1" t="s">
        <v>20</v>
      </c>
      <c r="M1" t="s">
        <v>14</v>
      </c>
    </row>
    <row r="2" spans="1:13" ht="15.5">
      <c r="C2" t="s">
        <v>4</v>
      </c>
      <c r="D2" s="1">
        <v>22.949535511383001</v>
      </c>
      <c r="E2">
        <f>AVERAGE(D2,D7,D12)</f>
        <v>20.582143577706933</v>
      </c>
      <c r="F2" s="1">
        <f>E35</f>
        <v>0</v>
      </c>
      <c r="G2" s="2"/>
      <c r="J2" t="s">
        <v>4</v>
      </c>
      <c r="K2">
        <v>22.949468612670898</v>
      </c>
      <c r="L2">
        <f>AVERAGE(K2,K7,K12)</f>
        <v>20.747887930029297</v>
      </c>
      <c r="M2" s="1">
        <f>STDEV(K2,K7,K12)/SQRT(COUNT(K2,K7,K12))</f>
        <v>2.1694804064943223</v>
      </c>
    </row>
    <row r="3" spans="1:13">
      <c r="C3" t="s">
        <v>5</v>
      </c>
      <c r="D3" s="1">
        <v>152.85931338837699</v>
      </c>
      <c r="E3">
        <f>AVERAGE(D3,D8,D13)</f>
        <v>147.818164434251</v>
      </c>
      <c r="F3" s="1">
        <f>STDEV(D3,D8,D13)/SQRT(COUNT(D3,D8,D13))</f>
        <v>9.6079763235800595</v>
      </c>
      <c r="J3" t="s">
        <v>5</v>
      </c>
      <c r="K3">
        <v>95.863075256347699</v>
      </c>
      <c r="L3">
        <f t="shared" ref="L3:L4" si="0">AVERAGE(K3,K8,K13)</f>
        <v>93.084465027194028</v>
      </c>
      <c r="M3" s="1">
        <f>STDEV(K3,K8,K13)/SQRT(COUNT(K3,K8,K13))</f>
        <v>2.729347550831883</v>
      </c>
    </row>
    <row r="4" spans="1:13">
      <c r="C4" t="s">
        <v>6</v>
      </c>
      <c r="D4" s="1">
        <v>149.86640403145</v>
      </c>
      <c r="E4">
        <f>AVERAGE(D4,D9,D14)</f>
        <v>144.98301971979868</v>
      </c>
      <c r="F4" s="1">
        <f>STDEV(D4,D9,D14)/SQRT(COUNT(D4,D9,D14))</f>
        <v>3.0200239199058645</v>
      </c>
      <c r="J4" t="s">
        <v>6</v>
      </c>
      <c r="K4">
        <v>147.81053161621099</v>
      </c>
      <c r="L4">
        <f t="shared" si="0"/>
        <v>146.33112083873701</v>
      </c>
      <c r="M4" s="1">
        <f>STDEV(K4,K9,K14)/SQRT(COUNT(K4,K9,K14))</f>
        <v>1.3735904205707898</v>
      </c>
    </row>
    <row r="6" spans="1:13">
      <c r="A6" t="s">
        <v>0</v>
      </c>
      <c r="B6" t="s">
        <v>7</v>
      </c>
      <c r="H6" t="s">
        <v>0</v>
      </c>
      <c r="I6" t="s">
        <v>7</v>
      </c>
    </row>
    <row r="7" spans="1:13">
      <c r="C7" t="s">
        <v>4</v>
      </c>
      <c r="D7" s="1">
        <v>16.409137147463799</v>
      </c>
      <c r="J7" t="s">
        <v>4</v>
      </c>
      <c r="K7">
        <v>16.409086227416999</v>
      </c>
    </row>
    <row r="8" spans="1:13">
      <c r="C8" t="s">
        <v>5</v>
      </c>
      <c r="D8" s="1">
        <v>129.23895551897499</v>
      </c>
      <c r="J8" t="s">
        <v>5</v>
      </c>
      <c r="K8">
        <v>87.626068115234403</v>
      </c>
    </row>
    <row r="9" spans="1:13">
      <c r="C9" t="s">
        <v>6</v>
      </c>
      <c r="D9" s="1">
        <v>145.61964718333499</v>
      </c>
      <c r="J9" t="s">
        <v>6</v>
      </c>
      <c r="K9">
        <v>143.58673099999999</v>
      </c>
    </row>
    <row r="11" spans="1:13">
      <c r="A11" t="s">
        <v>0</v>
      </c>
      <c r="B11" t="s">
        <v>9</v>
      </c>
      <c r="H11" t="s">
        <v>0</v>
      </c>
      <c r="I11" t="s">
        <v>9</v>
      </c>
    </row>
    <row r="12" spans="1:13">
      <c r="C12" t="s">
        <v>4</v>
      </c>
      <c r="D12" s="1">
        <v>22.387758074274</v>
      </c>
      <c r="J12" t="s">
        <v>4</v>
      </c>
      <c r="K12">
        <v>22.885108949999999</v>
      </c>
    </row>
    <row r="13" spans="1:13">
      <c r="C13" t="s">
        <v>5</v>
      </c>
      <c r="D13" s="1">
        <v>161.356224395401</v>
      </c>
      <c r="J13" t="s">
        <v>5</v>
      </c>
      <c r="K13">
        <v>95.764251709999996</v>
      </c>
    </row>
    <row r="14" spans="1:13">
      <c r="C14" t="s">
        <v>6</v>
      </c>
      <c r="D14" s="1">
        <v>139.46300794461101</v>
      </c>
      <c r="J14" t="s">
        <v>6</v>
      </c>
      <c r="K14">
        <v>147.59609990000001</v>
      </c>
    </row>
    <row r="17" spans="1:13">
      <c r="A17" t="s">
        <v>16</v>
      </c>
      <c r="B17" t="s">
        <v>17</v>
      </c>
    </row>
    <row r="18" spans="1:13">
      <c r="A18" t="s">
        <v>2</v>
      </c>
      <c r="B18" t="s">
        <v>3</v>
      </c>
      <c r="C18" t="s">
        <v>4</v>
      </c>
      <c r="D18" s="1">
        <v>5.7495466320666697</v>
      </c>
      <c r="E18">
        <f>AVERAGE(D18,D23,D28,D33,D38)</f>
        <v>6.2607972610671352</v>
      </c>
      <c r="F18">
        <f>STDEV(D18,D23,D28,D33,D38)/SQRT(COUNT(D18,D23,D28,D33,D38))</f>
        <v>1.2684746589145623</v>
      </c>
      <c r="H18" t="s">
        <v>16</v>
      </c>
      <c r="I18" t="s">
        <v>17</v>
      </c>
      <c r="J18" t="s">
        <v>4</v>
      </c>
      <c r="K18">
        <v>5.7495326999999996</v>
      </c>
      <c r="L18">
        <f>AVERAGE(K18,K23,K28,K33,K38)</f>
        <v>6.2607792377503895</v>
      </c>
      <c r="M18">
        <f>STDEV(K18,K23,K28,K33,K38)/SQRT(COUNT(K18,K23,K28,K33,K38))</f>
        <v>1.2684703863255244</v>
      </c>
    </row>
    <row r="19" spans="1:13">
      <c r="A19" t="s">
        <v>2</v>
      </c>
      <c r="B19" t="s">
        <v>3</v>
      </c>
      <c r="C19" t="s">
        <v>5</v>
      </c>
      <c r="D19" s="1">
        <v>156.851314764774</v>
      </c>
      <c r="E19">
        <f>AVERAGE(D19,D24,D29,D34,D39)</f>
        <v>133.20866383129527</v>
      </c>
      <c r="F19">
        <f>STDEV(D19,D24,D29,D34,D39)/SQRT(COUNT(D19,D24,D29,D34,D39))</f>
        <v>14.951664770439448</v>
      </c>
      <c r="H19" t="s">
        <v>2</v>
      </c>
      <c r="I19" t="s">
        <v>3</v>
      </c>
      <c r="J19" t="s">
        <v>5</v>
      </c>
      <c r="K19">
        <v>74.696533200000005</v>
      </c>
      <c r="L19">
        <f>AVERAGE(K19,K24,K29,K34,K39)</f>
        <v>73.929719542757823</v>
      </c>
      <c r="M19">
        <f>STDEV(K19,K24,K29,K34,K39)/SQRT(COUNT(K19,K24,K29,K34,K39))</f>
        <v>5.7390330394114031</v>
      </c>
    </row>
    <row r="20" spans="1:13">
      <c r="A20" t="s">
        <v>2</v>
      </c>
      <c r="B20" t="s">
        <v>3</v>
      </c>
      <c r="C20" t="s">
        <v>6</v>
      </c>
      <c r="D20" s="1">
        <v>203.48341270966401</v>
      </c>
      <c r="E20">
        <f>AVERAGE(D20,D25,D30,D35,D40)</f>
        <v>148.60611633527498</v>
      </c>
      <c r="F20">
        <f>STDEV(D20,D25,D30,D35,D40)/SQRT(COUNT(D20,D25,D30,D35,D40))</f>
        <v>18.871667990442045</v>
      </c>
      <c r="H20" t="s">
        <v>2</v>
      </c>
      <c r="I20" t="s">
        <v>3</v>
      </c>
      <c r="J20" t="s">
        <v>6</v>
      </c>
      <c r="K20">
        <v>140.27005004882801</v>
      </c>
      <c r="L20">
        <f>AVERAGE(K20,K25,K30,K35,K40)</f>
        <v>137.96311188677743</v>
      </c>
      <c r="M20">
        <f>STDEV(K20,K25,K30,K35,K40)/SQRT(COUNT(K20,K25,K30,K35,K40))</f>
        <v>8.7446189656561284</v>
      </c>
    </row>
    <row r="21" spans="1:13">
      <c r="D21" s="1"/>
      <c r="H21" t="s">
        <v>2</v>
      </c>
      <c r="I21" t="s">
        <v>3</v>
      </c>
    </row>
    <row r="22" spans="1:13">
      <c r="A22" t="s">
        <v>18</v>
      </c>
      <c r="B22" t="s">
        <v>1</v>
      </c>
      <c r="D22" s="1"/>
    </row>
    <row r="23" spans="1:13">
      <c r="A23" t="s">
        <v>2</v>
      </c>
      <c r="B23" t="s">
        <v>8</v>
      </c>
      <c r="C23" t="s">
        <v>4</v>
      </c>
      <c r="D23" s="1">
        <v>8.0448710653964692</v>
      </c>
      <c r="H23" t="s">
        <v>18</v>
      </c>
      <c r="I23" t="s">
        <v>1</v>
      </c>
      <c r="J23" t="s">
        <v>4</v>
      </c>
      <c r="K23">
        <v>8.0448493957519496</v>
      </c>
    </row>
    <row r="24" spans="1:13">
      <c r="A24" t="s">
        <v>2</v>
      </c>
      <c r="B24" t="s">
        <v>8</v>
      </c>
      <c r="C24" t="s">
        <v>5</v>
      </c>
      <c r="D24" s="1">
        <v>168.050866117781</v>
      </c>
      <c r="H24" t="s">
        <v>2</v>
      </c>
      <c r="I24" t="s">
        <v>8</v>
      </c>
      <c r="J24" t="s">
        <v>5</v>
      </c>
      <c r="K24">
        <v>79.087905883789105</v>
      </c>
    </row>
    <row r="25" spans="1:13">
      <c r="A25" t="s">
        <v>2</v>
      </c>
      <c r="B25" t="s">
        <v>8</v>
      </c>
      <c r="C25" t="s">
        <v>6</v>
      </c>
      <c r="D25" s="1">
        <v>184.62140082895101</v>
      </c>
      <c r="H25" t="s">
        <v>2</v>
      </c>
      <c r="I25" t="s">
        <v>8</v>
      </c>
      <c r="J25" t="s">
        <v>6</v>
      </c>
      <c r="K25">
        <v>143.96606449999999</v>
      </c>
    </row>
    <row r="26" spans="1:13">
      <c r="D26" s="1"/>
      <c r="H26" t="s">
        <v>2</v>
      </c>
      <c r="I26" t="s">
        <v>8</v>
      </c>
    </row>
    <row r="27" spans="1:13">
      <c r="A27" t="s">
        <v>18</v>
      </c>
      <c r="B27" t="s">
        <v>19</v>
      </c>
      <c r="D27" s="1"/>
    </row>
    <row r="28" spans="1:13">
      <c r="A28" t="s">
        <v>2</v>
      </c>
      <c r="B28" t="s">
        <v>10</v>
      </c>
      <c r="C28" t="s">
        <v>4</v>
      </c>
      <c r="D28" s="1">
        <v>5.1932255264924203</v>
      </c>
      <c r="H28" t="s">
        <v>18</v>
      </c>
      <c r="I28" t="s">
        <v>19</v>
      </c>
      <c r="J28" t="s">
        <v>4</v>
      </c>
      <c r="K28">
        <v>5.1932115550000004</v>
      </c>
    </row>
    <row r="29" spans="1:13">
      <c r="A29" t="s">
        <v>2</v>
      </c>
      <c r="B29" t="s">
        <v>10</v>
      </c>
      <c r="C29" t="s">
        <v>5</v>
      </c>
      <c r="D29" s="1">
        <v>100.068505717627</v>
      </c>
      <c r="H29" t="s">
        <v>2</v>
      </c>
      <c r="I29" t="s">
        <v>10</v>
      </c>
      <c r="J29" t="s">
        <v>5</v>
      </c>
      <c r="K29">
        <v>72.947288510000007</v>
      </c>
    </row>
    <row r="30" spans="1:13">
      <c r="A30" t="s">
        <v>2</v>
      </c>
      <c r="B30" t="s">
        <v>10</v>
      </c>
      <c r="C30" t="s">
        <v>6</v>
      </c>
      <c r="D30" s="1">
        <v>115.572553255668</v>
      </c>
      <c r="H30" t="s">
        <v>2</v>
      </c>
      <c r="I30" t="s">
        <v>10</v>
      </c>
      <c r="J30" t="s">
        <v>6</v>
      </c>
      <c r="K30">
        <v>138.66200259999999</v>
      </c>
    </row>
    <row r="31" spans="1:13">
      <c r="D31" s="1"/>
      <c r="H31" t="s">
        <v>2</v>
      </c>
      <c r="I31" t="s">
        <v>10</v>
      </c>
    </row>
    <row r="32" spans="1:13">
      <c r="A32" t="s">
        <v>18</v>
      </c>
      <c r="B32" t="s">
        <v>7</v>
      </c>
      <c r="D32" s="1"/>
    </row>
    <row r="33" spans="1:12">
      <c r="A33" t="s">
        <v>2</v>
      </c>
      <c r="B33" t="s">
        <v>10</v>
      </c>
      <c r="C33" t="s">
        <v>4</v>
      </c>
      <c r="D33" s="1">
        <v>2.4449863058955401</v>
      </c>
      <c r="H33" t="s">
        <v>18</v>
      </c>
      <c r="I33" t="s">
        <v>7</v>
      </c>
      <c r="J33" t="s">
        <v>4</v>
      </c>
      <c r="K33">
        <v>2.444978952</v>
      </c>
    </row>
    <row r="34" spans="1:12">
      <c r="A34" t="s">
        <v>2</v>
      </c>
      <c r="B34" t="s">
        <v>10</v>
      </c>
      <c r="C34" t="s">
        <v>5</v>
      </c>
      <c r="D34" s="1">
        <v>95.251491580289198</v>
      </c>
      <c r="H34" t="s">
        <v>2</v>
      </c>
      <c r="I34" t="s">
        <v>10</v>
      </c>
      <c r="J34" t="s">
        <v>5</v>
      </c>
      <c r="K34">
        <v>53.874984740000002</v>
      </c>
    </row>
    <row r="35" spans="1:12">
      <c r="A35" t="s">
        <v>2</v>
      </c>
      <c r="B35" t="s">
        <v>10</v>
      </c>
      <c r="C35" t="s">
        <v>6</v>
      </c>
      <c r="D35" s="1">
        <v>114.7203275433</v>
      </c>
      <c r="H35" t="s">
        <v>2</v>
      </c>
      <c r="I35" t="s">
        <v>10</v>
      </c>
      <c r="J35" t="s">
        <v>6</v>
      </c>
      <c r="K35">
        <v>106.56130218505901</v>
      </c>
    </row>
    <row r="36" spans="1:12">
      <c r="D36" s="1"/>
      <c r="H36" t="s">
        <v>2</v>
      </c>
      <c r="I36" t="s">
        <v>10</v>
      </c>
    </row>
    <row r="37" spans="1:12">
      <c r="A37" t="s">
        <v>18</v>
      </c>
      <c r="B37" t="s">
        <v>9</v>
      </c>
      <c r="D37" s="1"/>
    </row>
    <row r="38" spans="1:12">
      <c r="A38" t="s">
        <v>2</v>
      </c>
      <c r="B38" t="s">
        <v>10</v>
      </c>
      <c r="C38" t="s">
        <v>4</v>
      </c>
      <c r="D38" s="1">
        <v>9.8713567754845801</v>
      </c>
      <c r="H38" t="s">
        <v>18</v>
      </c>
      <c r="I38" t="s">
        <v>9</v>
      </c>
      <c r="J38" t="s">
        <v>4</v>
      </c>
      <c r="K38">
        <v>9.8713235860000008</v>
      </c>
    </row>
    <row r="39" spans="1:12">
      <c r="A39" t="s">
        <v>2</v>
      </c>
      <c r="B39" t="s">
        <v>10</v>
      </c>
      <c r="C39" t="s">
        <v>5</v>
      </c>
      <c r="D39" s="1">
        <v>145.82114097600501</v>
      </c>
      <c r="H39" t="s">
        <v>2</v>
      </c>
      <c r="I39" t="s">
        <v>10</v>
      </c>
      <c r="J39" t="s">
        <v>5</v>
      </c>
      <c r="K39">
        <v>89.041885379999997</v>
      </c>
    </row>
    <row r="40" spans="1:12">
      <c r="A40" t="s">
        <v>2</v>
      </c>
      <c r="B40" t="s">
        <v>10</v>
      </c>
      <c r="C40" t="s">
        <v>6</v>
      </c>
      <c r="D40" s="1">
        <v>124.632887338792</v>
      </c>
      <c r="H40" t="s">
        <v>2</v>
      </c>
      <c r="I40" t="s">
        <v>10</v>
      </c>
      <c r="J40" t="s">
        <v>6</v>
      </c>
      <c r="K40">
        <v>160.3561401</v>
      </c>
    </row>
    <row r="41" spans="1:12">
      <c r="H41" t="s">
        <v>2</v>
      </c>
      <c r="I41" t="s">
        <v>10</v>
      </c>
    </row>
    <row r="43" spans="1:12">
      <c r="A43" t="s">
        <v>21</v>
      </c>
      <c r="B43" t="s">
        <v>17</v>
      </c>
      <c r="H43" t="s">
        <v>21</v>
      </c>
      <c r="I43" t="s">
        <v>17</v>
      </c>
    </row>
    <row r="44" spans="1:12">
      <c r="A44" t="s">
        <v>2</v>
      </c>
      <c r="B44" t="s">
        <v>3</v>
      </c>
      <c r="C44" t="s">
        <v>4</v>
      </c>
      <c r="D44">
        <v>32.904644030685802</v>
      </c>
      <c r="E44">
        <f>AVERAGE(D44,D50,D56,D62,D68)</f>
        <v>35.203565584941018</v>
      </c>
      <c r="F44">
        <f>STDEV(D44,D50,D56,D62,D68)/SQRT(COUNT(D44,D50,D56,D62,D68))</f>
        <v>2.3497596790476312</v>
      </c>
      <c r="H44" t="s">
        <v>2</v>
      </c>
      <c r="I44" t="s">
        <v>3</v>
      </c>
      <c r="J44" t="s">
        <v>4</v>
      </c>
      <c r="K44" s="3">
        <v>32.905000000000001</v>
      </c>
      <c r="L44">
        <f>AVERAGE(K44,K50,K56,K62,K68)</f>
        <v>36.015030914298826</v>
      </c>
    </row>
    <row r="45" spans="1:12">
      <c r="A45" t="s">
        <v>2</v>
      </c>
      <c r="B45" t="s">
        <v>3</v>
      </c>
      <c r="C45" t="s">
        <v>5</v>
      </c>
      <c r="D45">
        <v>209.479715903124</v>
      </c>
      <c r="E45">
        <f>AVERAGE(D45,D51,D57,D63,D69)</f>
        <v>191.5554595536268</v>
      </c>
      <c r="F45">
        <f>STDEV(D45,D51,D57,D63,D69)/SQRT(COUNT(D45,D51,D57,D63,D69))</f>
        <v>13.603391369220946</v>
      </c>
      <c r="H45" t="s">
        <v>2</v>
      </c>
      <c r="I45" t="s">
        <v>3</v>
      </c>
      <c r="J45" t="s">
        <v>5</v>
      </c>
      <c r="K45" s="3">
        <v>153.59</v>
      </c>
      <c r="L45">
        <f>AVERAGE(K45,K51,K57,K63,K69)</f>
        <v>151.7976691934376</v>
      </c>
    </row>
    <row r="46" spans="1:12">
      <c r="A46" t="s">
        <v>2</v>
      </c>
      <c r="B46" t="s">
        <v>3</v>
      </c>
      <c r="C46" t="s">
        <v>6</v>
      </c>
      <c r="D46">
        <v>222.849482858307</v>
      </c>
      <c r="E46">
        <f>AVERAGE(D46,D52,D58,D64,D70)</f>
        <v>202.14168304834519</v>
      </c>
      <c r="F46">
        <f>STDEV(D46,D52,D58,D64,D70)/SQRT(COUNT(D46,D52,D58,D64,D70))</f>
        <v>19.930214722577976</v>
      </c>
      <c r="H46" t="s">
        <v>2</v>
      </c>
      <c r="I46" t="s">
        <v>3</v>
      </c>
      <c r="J46" t="s">
        <v>6</v>
      </c>
      <c r="K46" s="3">
        <v>206.358</v>
      </c>
      <c r="L46">
        <f>AVERAGE(K46,K52,K58,K64,K70)</f>
        <v>201.38026088000001</v>
      </c>
    </row>
    <row r="49" spans="1:11">
      <c r="A49" t="s">
        <v>21</v>
      </c>
      <c r="B49" t="s">
        <v>22</v>
      </c>
      <c r="H49" t="s">
        <v>21</v>
      </c>
      <c r="I49" t="s">
        <v>22</v>
      </c>
    </row>
    <row r="50" spans="1:11">
      <c r="A50" t="s">
        <v>2</v>
      </c>
      <c r="B50" t="s">
        <v>3</v>
      </c>
      <c r="C50" t="s">
        <v>4</v>
      </c>
      <c r="D50">
        <v>32.552548113025203</v>
      </c>
      <c r="H50" t="s">
        <v>2</v>
      </c>
      <c r="I50" t="s">
        <v>3</v>
      </c>
      <c r="J50" t="s">
        <v>4</v>
      </c>
      <c r="K50">
        <v>32.552436829999998</v>
      </c>
    </row>
    <row r="51" spans="1:11">
      <c r="A51" t="s">
        <v>2</v>
      </c>
      <c r="B51" t="s">
        <v>3</v>
      </c>
      <c r="C51" t="s">
        <v>5</v>
      </c>
      <c r="D51">
        <v>188.01763614560801</v>
      </c>
      <c r="H51" t="s">
        <v>2</v>
      </c>
      <c r="I51" t="s">
        <v>3</v>
      </c>
      <c r="J51" t="s">
        <v>5</v>
      </c>
      <c r="K51">
        <v>156.26721190000001</v>
      </c>
    </row>
    <row r="52" spans="1:11">
      <c r="A52" t="s">
        <v>2</v>
      </c>
      <c r="B52" t="s">
        <v>3</v>
      </c>
      <c r="C52" t="s">
        <v>6</v>
      </c>
      <c r="D52">
        <v>218.74813393667199</v>
      </c>
      <c r="H52" t="s">
        <v>2</v>
      </c>
      <c r="I52" t="s">
        <v>3</v>
      </c>
      <c r="J52" t="s">
        <v>6</v>
      </c>
      <c r="K52">
        <v>211.09426880000001</v>
      </c>
    </row>
    <row r="55" spans="1:11">
      <c r="A55" t="s">
        <v>21</v>
      </c>
      <c r="B55" t="s">
        <v>23</v>
      </c>
      <c r="H55" t="s">
        <v>21</v>
      </c>
      <c r="I55" t="s">
        <v>23</v>
      </c>
    </row>
    <row r="56" spans="1:11">
      <c r="A56" t="s">
        <v>2</v>
      </c>
      <c r="B56" t="s">
        <v>3</v>
      </c>
      <c r="C56" t="s">
        <v>4</v>
      </c>
      <c r="D56">
        <v>31.888014492274099</v>
      </c>
      <c r="H56" t="s">
        <v>2</v>
      </c>
      <c r="I56" t="s">
        <v>3</v>
      </c>
      <c r="J56" t="s">
        <v>4</v>
      </c>
      <c r="K56">
        <v>35.945350650000002</v>
      </c>
    </row>
    <row r="57" spans="1:11">
      <c r="A57" t="s">
        <v>2</v>
      </c>
      <c r="B57" t="s">
        <v>3</v>
      </c>
      <c r="C57" t="s">
        <v>5</v>
      </c>
      <c r="D57">
        <v>226.46393861339101</v>
      </c>
      <c r="H57" t="s">
        <v>2</v>
      </c>
      <c r="I57" t="s">
        <v>3</v>
      </c>
      <c r="J57" t="s">
        <v>5</v>
      </c>
      <c r="K57">
        <v>153.50955200000001</v>
      </c>
    </row>
    <row r="58" spans="1:11">
      <c r="A58" t="s">
        <v>2</v>
      </c>
      <c r="B58" t="s">
        <v>3</v>
      </c>
      <c r="C58" t="s">
        <v>6</v>
      </c>
      <c r="D58">
        <v>255.34095166168299</v>
      </c>
      <c r="H58" t="s">
        <v>2</v>
      </c>
      <c r="I58" t="s">
        <v>3</v>
      </c>
      <c r="J58" t="s">
        <v>6</v>
      </c>
      <c r="K58">
        <v>203.54669190000001</v>
      </c>
    </row>
    <row r="61" spans="1:11">
      <c r="A61" t="s">
        <v>21</v>
      </c>
      <c r="B61" t="s">
        <v>24</v>
      </c>
      <c r="H61" t="s">
        <v>21</v>
      </c>
      <c r="I61" t="s">
        <v>24</v>
      </c>
    </row>
    <row r="62" spans="1:11">
      <c r="A62" t="s">
        <v>2</v>
      </c>
      <c r="B62" t="s">
        <v>3</v>
      </c>
      <c r="C62" t="s">
        <v>4</v>
      </c>
      <c r="D62">
        <v>44.482301051276302</v>
      </c>
      <c r="H62" t="s">
        <v>2</v>
      </c>
      <c r="I62" t="s">
        <v>3</v>
      </c>
      <c r="J62" t="s">
        <v>4</v>
      </c>
      <c r="K62">
        <v>44.482151031494098</v>
      </c>
    </row>
    <row r="63" spans="1:11">
      <c r="A63" t="s">
        <v>2</v>
      </c>
      <c r="B63" t="s">
        <v>3</v>
      </c>
      <c r="C63" t="s">
        <v>5</v>
      </c>
      <c r="D63">
        <v>188.51418195021401</v>
      </c>
      <c r="H63" t="s">
        <v>2</v>
      </c>
      <c r="I63" t="s">
        <v>3</v>
      </c>
      <c r="J63" t="s">
        <v>5</v>
      </c>
      <c r="K63">
        <v>151.81921386718801</v>
      </c>
    </row>
    <row r="64" spans="1:11">
      <c r="A64" t="s">
        <v>2</v>
      </c>
      <c r="B64" t="s">
        <v>3</v>
      </c>
      <c r="C64" t="s">
        <v>6</v>
      </c>
      <c r="D64">
        <v>169.39834066367001</v>
      </c>
      <c r="H64" t="s">
        <v>2</v>
      </c>
      <c r="I64" t="s">
        <v>3</v>
      </c>
      <c r="J64" t="s">
        <v>6</v>
      </c>
      <c r="K64">
        <v>196.003952</v>
      </c>
    </row>
    <row r="67" spans="1:11">
      <c r="A67" t="s">
        <v>21</v>
      </c>
      <c r="B67" t="s">
        <v>25</v>
      </c>
      <c r="H67" t="s">
        <v>21</v>
      </c>
      <c r="I67" t="s">
        <v>25</v>
      </c>
    </row>
    <row r="68" spans="1:11">
      <c r="A68" t="s">
        <v>2</v>
      </c>
      <c r="B68" t="s">
        <v>3</v>
      </c>
      <c r="C68" t="s">
        <v>4</v>
      </c>
      <c r="D68">
        <v>34.1903202374437</v>
      </c>
      <c r="H68" t="s">
        <v>2</v>
      </c>
      <c r="I68" t="s">
        <v>3</v>
      </c>
      <c r="J68" t="s">
        <v>4</v>
      </c>
      <c r="K68">
        <v>34.190216059999997</v>
      </c>
    </row>
    <row r="69" spans="1:11">
      <c r="A69" t="s">
        <v>2</v>
      </c>
      <c r="B69" t="s">
        <v>3</v>
      </c>
      <c r="C69" t="s">
        <v>5</v>
      </c>
      <c r="D69">
        <v>145.30182515579699</v>
      </c>
      <c r="H69" t="s">
        <v>2</v>
      </c>
      <c r="I69" t="s">
        <v>3</v>
      </c>
      <c r="J69" t="s">
        <v>5</v>
      </c>
      <c r="K69">
        <v>143.80236819999999</v>
      </c>
    </row>
    <row r="70" spans="1:11">
      <c r="A70" t="s">
        <v>2</v>
      </c>
      <c r="B70" t="s">
        <v>3</v>
      </c>
      <c r="C70" t="s">
        <v>6</v>
      </c>
      <c r="D70">
        <v>144.37150612139399</v>
      </c>
      <c r="H70" t="s">
        <v>2</v>
      </c>
      <c r="I70" t="s">
        <v>3</v>
      </c>
      <c r="J70" t="s">
        <v>6</v>
      </c>
      <c r="K70">
        <v>189.89839169999999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2022-03-03T10:12:48Z</dcterms:modified>
</cp:coreProperties>
</file>