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13_ncr:1_{EB827D5D-AF2B-4D93-B24D-9F0AB1D43D67}" xr6:coauthVersionLast="47" xr6:coauthVersionMax="47" xr10:uidLastSave="{00000000-0000-0000-0000-000000000000}"/>
  <bookViews>
    <workbookView xWindow="-110" yWindow="-110" windowWidth="19420" windowHeight="11020" xr2:uid="{08BF4E82-A721-433E-9499-E4802F81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L4" i="1"/>
  <c r="L3" i="1"/>
  <c r="L2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<sst xmlns="http://schemas.openxmlformats.org/spreadsheetml/2006/main" count="36" uniqueCount="12">
  <si>
    <t>TRMT1</t>
  </si>
  <si>
    <t>STND2</t>
  </si>
  <si>
    <t>1995</t>
  </si>
  <si>
    <t>2011</t>
  </si>
  <si>
    <t>2020</t>
  </si>
  <si>
    <t>STND4</t>
  </si>
  <si>
    <t>STND5</t>
  </si>
  <si>
    <t>Year</t>
  </si>
  <si>
    <t>Actual_ BA_fpa</t>
  </si>
  <si>
    <t>Mean_Actual_ BA_fpa</t>
  </si>
  <si>
    <t>SE</t>
  </si>
  <si>
    <t>FVS_BA_fpa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</si>
</sst>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9"/>
      <color rgb="FF3A3A3A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04C-9B10-4D38-BC4C-5BE21FEB724E}">
  <dimension ref="A1:M14"/>
  <sheetViews>
    <sheetView tabSelected="1" topLeftCell="D1" workbookViewId="0">
      <selection activeCell="O4" sqref="O4"/>
    </sheetView>
  </sheetViews>
  <sheetFormatPr defaultRowHeight="14.5"/>
  <cols>
    <col min="4" max="4" width="20.1796875" customWidth="1"/>
    <col min="5" max="5" width="36.1796875" customWidth="1"/>
    <col min="11" max="11" width="20.36328125" customWidth="1"/>
  </cols>
  <sheetData>
    <row r="1" spans="1:1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H1" t="s">
        <v>0</v>
      </c>
      <c r="I1" t="s">
        <v>1</v>
      </c>
      <c r="J1" t="s">
        <v>7</v>
      </c>
      <c r="K1" t="s">
        <v>11</v>
      </c>
    </row>
    <row r="2" spans="1:13" ht="15.5">
      <c r="C2" t="s">
        <v>2</v>
      </c>
      <c r="D2" s="1">
        <v>22.949535511383001</v>
      </c>
      <c r="E2">
        <f>AVERAGE(D2,D7,D12)</f>
        <v>20.582143577706933</v>
      </c>
      <c r="F2" s="1">
        <f>STDEV(D2,D7,D12)/SQRT(COUNT(D2,D7,D12))</f>
        <v>2.0927960142951574</v>
      </c>
      <c r="G2" s="2"/>
      <c r="J2" t="s">
        <v>2</v>
      </c>
      <c r="K2">
        <v>22.949468612670898</v>
      </c>
      <c r="L2">
        <f>AVERAGE(K2,K7,K12)</f>
        <v>20.747887930029297</v>
      </c>
      <c r="M2" s="1">
        <f>STDEV(K2,K7,K12)/SQRT(COUNT(K2,K7,K12))</f>
        <v>2.1694804064943223</v>
      </c>
    </row>
    <row r="3" spans="1:13">
      <c r="C3" t="s">
        <v>3</v>
      </c>
      <c r="D3" s="1">
        <v>152.85931338837699</v>
      </c>
      <c r="E3">
        <f>AVERAGE(D3,D8,D13)</f>
        <v>147.818164434251</v>
      </c>
      <c r="F3" s="1">
        <f>STDEV(D3,D8,D13)/SQRT(COUNT(D3,D8,D13))</f>
        <v>9.6079763235800595</v>
      </c>
      <c r="J3" t="s">
        <v>3</v>
      </c>
      <c r="K3">
        <v>95.863075256347699</v>
      </c>
      <c r="L3">
        <f t="shared" ref="L3:L4" si="0">AVERAGE(K3,K8,K13)</f>
        <v>93.084465027194028</v>
      </c>
      <c r="M3" s="1">
        <f>STDEV(K3,K8,K13)/SQRT(COUNT(K3,K8,K13))</f>
        <v>2.729347550831883</v>
      </c>
    </row>
    <row r="4" spans="1:13">
      <c r="C4" t="s">
        <v>4</v>
      </c>
      <c r="D4" s="1">
        <v>149.86640403145</v>
      </c>
      <c r="E4">
        <f>AVERAGE(D4,D9,D14)</f>
        <v>144.98301971979868</v>
      </c>
      <c r="F4" s="1">
        <f>STDEV(D4,D9,D14)/SQRT(COUNT(D4,D9,D14))</f>
        <v>3.0200239199058645</v>
      </c>
      <c r="J4" t="s">
        <v>4</v>
      </c>
      <c r="K4">
        <v>147.81053161621099</v>
      </c>
      <c r="L4">
        <f t="shared" si="0"/>
        <v>146.33112083873701</v>
      </c>
      <c r="M4" s="1">
        <f>STDEV(K4,K9,K14)/SQRT(COUNT(K4,K9,K14))</f>
        <v>1.3735904205707898</v>
      </c>
    </row>
    <row r="6" spans="1:13">
      <c r="A6" t="s">
        <v>0</v>
      </c>
      <c r="B6" t="s">
        <v>5</v>
      </c>
      <c r="H6" t="s">
        <v>0</v>
      </c>
      <c r="I6" t="s">
        <v>5</v>
      </c>
    </row>
    <row r="7" spans="1:13">
      <c r="C7" t="s">
        <v>2</v>
      </c>
      <c r="D7" s="1">
        <v>16.409137147463799</v>
      </c>
      <c r="J7" t="s">
        <v>2</v>
      </c>
      <c r="K7">
        <v>16.409086227416999</v>
      </c>
    </row>
    <row r="8" spans="1:13">
      <c r="C8" t="s">
        <v>3</v>
      </c>
      <c r="D8" s="1">
        <v>129.23895551897499</v>
      </c>
      <c r="J8" t="s">
        <v>3</v>
      </c>
      <c r="K8">
        <v>87.626068115234403</v>
      </c>
    </row>
    <row r="9" spans="1:13">
      <c r="C9" t="s">
        <v>4</v>
      </c>
      <c r="D9" s="1">
        <v>145.61964718333499</v>
      </c>
      <c r="J9" t="s">
        <v>4</v>
      </c>
      <c r="K9">
        <v>143.58673099999999</v>
      </c>
    </row>
    <row r="11" spans="1:13">
      <c r="A11" t="s">
        <v>0</v>
      </c>
      <c r="B11" t="s">
        <v>6</v>
      </c>
      <c r="H11" t="s">
        <v>0</v>
      </c>
      <c r="I11" t="s">
        <v>6</v>
      </c>
    </row>
    <row r="12" spans="1:13">
      <c r="C12" t="s">
        <v>2</v>
      </c>
      <c r="D12" s="1">
        <v>22.387758074274</v>
      </c>
      <c r="J12" t="s">
        <v>2</v>
      </c>
      <c r="K12">
        <v>22.885108949999999</v>
      </c>
    </row>
    <row r="13" spans="1:13">
      <c r="C13" t="s">
        <v>3</v>
      </c>
      <c r="D13" s="1">
        <v>161.356224395401</v>
      </c>
      <c r="J13" t="s">
        <v>3</v>
      </c>
      <c r="K13">
        <v>95.764251709999996</v>
      </c>
    </row>
    <row r="14" spans="1:13">
      <c r="C14" t="s">
        <v>4</v>
      </c>
      <c r="D14" s="1">
        <v>139.46300794461101</v>
      </c>
      <c r="J14" t="s">
        <v>4</v>
      </c>
      <c r="K14">
        <v>147.59609990000001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2022-03-02T00:59:22Z</dcterms:created>
  <dcterms:modified xsi:type="dcterms:W3CDTF">2022-03-02T01:32:45Z</dcterms:modified>
</cp:coreProperties>
</file>