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wn\Desktop\"/>
    </mc:Choice>
  </mc:AlternateContent>
  <xr:revisionPtr revIDLastSave="0" documentId="8_{9A6AB355-6A9D-4A38-ABCA-743F7C88634F}" xr6:coauthVersionLast="47" xr6:coauthVersionMax="47" xr10:uidLastSave="{00000000-0000-0000-0000-000000000000}"/>
  <bookViews>
    <workbookView xWindow="-28920" yWindow="-120" windowWidth="29040" windowHeight="16440" xr2:uid="{08BF4E82-A721-433E-9499-E4802F81A3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4" i="1" l="1"/>
  <c r="W3" i="1"/>
  <c r="W2" i="1"/>
  <c r="O4" i="1"/>
  <c r="O3" i="1"/>
  <c r="O2" i="1"/>
  <c r="V4" i="1"/>
  <c r="V3" i="1"/>
  <c r="V2" i="1"/>
  <c r="N4" i="1"/>
  <c r="N3" i="1"/>
  <c r="N2" i="1"/>
  <c r="F4" i="1"/>
  <c r="F3" i="1"/>
  <c r="F2" i="1"/>
  <c r="E4" i="1"/>
  <c r="E3" i="1"/>
  <c r="E2" i="1"/>
</calcChain>
</file>

<file path=xl/sharedStrings.xml><?xml version="1.0" encoding="utf-8"?>
<sst xmlns="http://schemas.openxmlformats.org/spreadsheetml/2006/main" count="56" uniqueCount="14">
  <si>
    <t>TRMT1</t>
  </si>
  <si>
    <t>STND2</t>
  </si>
  <si>
    <t>1995</t>
  </si>
  <si>
    <t>2011</t>
  </si>
  <si>
    <t>2020</t>
  </si>
  <si>
    <t>STND4</t>
  </si>
  <si>
    <t>STND5</t>
  </si>
  <si>
    <t>Year</t>
  </si>
  <si>
    <t>Actual_ BA_fpa</t>
  </si>
  <si>
    <t>Mean_Actual_ BA_fpa</t>
  </si>
  <si>
    <t>SE</t>
  </si>
  <si>
    <t>FVS_BA_fpa</t>
  </si>
  <si>
    <t>PNW</t>
  </si>
  <si>
    <t>WRDM_BA_fpa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</si>
</sst>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000000"/>
      <name val="Arial Unicode MS"/>
    </font>
    <font>
      <b/>
      <sz val="9"/>
      <color rgb="FF3A3A3A"/>
      <name val="Work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704C-9B10-4D38-BC4C-5BE21FEB724E}">
  <dimension ref="A1:W14"/>
  <sheetViews>
    <sheetView tabSelected="1" topLeftCell="B1" workbookViewId="0">
      <selection activeCell="U1" sqref="U1"/>
    </sheetView>
  </sheetViews>
  <sheetFormatPr defaultRowHeight="14.5"/>
  <cols>
    <col min="4" max="4" width="20.1796875" customWidth="1"/>
    <col min="5" max="5" width="36.1796875" customWidth="1"/>
    <col min="13" max="13" width="9.81640625" customWidth="1"/>
    <col min="14" max="14" width="22" customWidth="1"/>
  </cols>
  <sheetData>
    <row r="1" spans="1:23">
      <c r="A1" t="s">
        <v>0</v>
      </c>
      <c r="B1" t="s">
        <v>1</v>
      </c>
      <c r="C1" t="s">
        <v>7</v>
      </c>
      <c r="D1" t="s">
        <v>8</v>
      </c>
      <c r="E1" t="s">
        <v>9</v>
      </c>
      <c r="F1" t="s">
        <v>10</v>
      </c>
      <c r="I1" t="s">
        <v>12</v>
      </c>
      <c r="J1" t="s">
        <v>0</v>
      </c>
      <c r="K1" t="s">
        <v>1</v>
      </c>
      <c r="L1" t="s">
        <v>7</v>
      </c>
      <c r="M1" t="s">
        <v>11</v>
      </c>
      <c r="N1" t="s">
        <v>9</v>
      </c>
      <c r="Q1" t="s">
        <v>12</v>
      </c>
      <c r="R1" t="s">
        <v>0</v>
      </c>
      <c r="S1" t="s">
        <v>1</v>
      </c>
      <c r="T1" t="s">
        <v>7</v>
      </c>
      <c r="U1" t="s">
        <v>13</v>
      </c>
    </row>
    <row r="2" spans="1:23" ht="15.5">
      <c r="C2" t="s">
        <v>2</v>
      </c>
      <c r="D2" s="1">
        <v>22.949535511383001</v>
      </c>
      <c r="E2">
        <f>AVERAGE(D2,D7,D12)</f>
        <v>20.582143577706933</v>
      </c>
      <c r="F2" s="1">
        <f>STDEV(D2,D7,D12)/SQRT(COUNT(D2,D7,D12))</f>
        <v>2.0927960142951574</v>
      </c>
      <c r="G2" s="2"/>
      <c r="L2" t="s">
        <v>2</v>
      </c>
      <c r="M2">
        <v>22.949468612670898</v>
      </c>
      <c r="N2">
        <f>AVERAGE(M2,M7,M12)</f>
        <v>20.7478879308903</v>
      </c>
      <c r="O2" s="1">
        <f>STDEV(M2,M7,M12)/SQRT(COUNT(M2,M7,M12))</f>
        <v>2.1694804056333443</v>
      </c>
      <c r="T2" t="s">
        <v>2</v>
      </c>
      <c r="U2">
        <v>22.94946861</v>
      </c>
      <c r="V2">
        <f>AVERAGE(U2,U7,U12)</f>
        <v>20.747887930000001</v>
      </c>
      <c r="W2" s="1">
        <f>STDEV(U2,U7,U12)/SQRT(COUNT(U2,U7,U12))</f>
        <v>2.1694804051816234</v>
      </c>
    </row>
    <row r="3" spans="1:23">
      <c r="C3" t="s">
        <v>3</v>
      </c>
      <c r="D3" s="1">
        <v>152.85931338837699</v>
      </c>
      <c r="E3">
        <f>AVERAGE(D3,D8,D13)</f>
        <v>147.818164434251</v>
      </c>
      <c r="F3" s="1">
        <f>STDEV(D3,D8,D13)/SQRT(COUNT(D3,D8,D13))</f>
        <v>9.6079763235800595</v>
      </c>
      <c r="L3" t="s">
        <v>3</v>
      </c>
      <c r="M3">
        <v>194.07827758789099</v>
      </c>
      <c r="N3">
        <f>AVERAGE(M3,M8,M13)</f>
        <v>186.69370522929702</v>
      </c>
      <c r="O3" s="1">
        <f>STDEV(M3,M8,M13)/SQRT(COUNT(M3,M8,M13))</f>
        <v>7.2137659247512875</v>
      </c>
      <c r="T3" t="s">
        <v>3</v>
      </c>
      <c r="U3">
        <v>192.00393679999999</v>
      </c>
      <c r="V3">
        <f>AVERAGE(U3,U8,U13)</f>
        <v>143.84585573333331</v>
      </c>
      <c r="W3" s="1">
        <f>STDEV(U3,U8,U13)/SQRT(COUNT(U3,U8,U13))</f>
        <v>25.059905917577694</v>
      </c>
    </row>
    <row r="4" spans="1:23">
      <c r="C4" t="s">
        <v>4</v>
      </c>
      <c r="D4" s="1">
        <v>149.86640403145</v>
      </c>
      <c r="E4">
        <f>AVERAGE(D4,D9,D14)</f>
        <v>144.98301971979868</v>
      </c>
      <c r="F4" s="1">
        <f>STDEV(D4,D9,D14)/SQRT(COUNT(D4,D9,D14))</f>
        <v>3.0200239199058645</v>
      </c>
      <c r="L4" t="s">
        <v>4</v>
      </c>
      <c r="M4">
        <v>308.76077270000002</v>
      </c>
      <c r="N4">
        <f>AVERAGE(M4,M9,M14)</f>
        <v>302.36005656666674</v>
      </c>
      <c r="O4" s="1">
        <f>STDEV(M4,M9,M14)/SQRT(COUNT(M4,M9,M14))</f>
        <v>6.0288877303972486</v>
      </c>
      <c r="T4" t="s">
        <v>4</v>
      </c>
      <c r="U4">
        <v>308.64166260000002</v>
      </c>
      <c r="V4">
        <f>AVERAGE(U4,U9,U14)</f>
        <v>243.09378560000005</v>
      </c>
      <c r="W4" s="1">
        <f>STDEV(U4,U9,U14)/SQRT(COUNT(U4,U9,U14))</f>
        <v>36.388646774493921</v>
      </c>
    </row>
    <row r="6" spans="1:23">
      <c r="A6" t="s">
        <v>0</v>
      </c>
      <c r="B6" t="s">
        <v>5</v>
      </c>
      <c r="J6" t="s">
        <v>0</v>
      </c>
      <c r="K6" t="s">
        <v>5</v>
      </c>
      <c r="R6" t="s">
        <v>0</v>
      </c>
      <c r="S6" t="s">
        <v>5</v>
      </c>
    </row>
    <row r="7" spans="1:23">
      <c r="C7" t="s">
        <v>2</v>
      </c>
      <c r="D7" s="1">
        <v>16.409137147463799</v>
      </c>
      <c r="L7" t="s">
        <v>2</v>
      </c>
      <c r="M7">
        <v>16.40908623</v>
      </c>
      <c r="T7" t="s">
        <v>2</v>
      </c>
      <c r="U7">
        <v>16.40908623</v>
      </c>
    </row>
    <row r="8" spans="1:23">
      <c r="C8" t="s">
        <v>3</v>
      </c>
      <c r="D8" s="1">
        <v>129.23895551897499</v>
      </c>
      <c r="L8" t="s">
        <v>3</v>
      </c>
      <c r="M8">
        <v>172.2675323</v>
      </c>
      <c r="T8" t="s">
        <v>3</v>
      </c>
      <c r="U8">
        <v>131.79162600000001</v>
      </c>
    </row>
    <row r="9" spans="1:23">
      <c r="C9" t="s">
        <v>4</v>
      </c>
      <c r="D9" s="1">
        <v>145.61964718333499</v>
      </c>
      <c r="L9" t="s">
        <v>4</v>
      </c>
      <c r="M9">
        <v>290.31008910000003</v>
      </c>
      <c r="T9" t="s">
        <v>4</v>
      </c>
      <c r="U9">
        <v>237.7061157</v>
      </c>
    </row>
    <row r="11" spans="1:23">
      <c r="A11" t="s">
        <v>0</v>
      </c>
      <c r="B11" t="s">
        <v>6</v>
      </c>
      <c r="J11" t="s">
        <v>0</v>
      </c>
      <c r="K11" t="s">
        <v>6</v>
      </c>
      <c r="R11" t="s">
        <v>0</v>
      </c>
      <c r="S11" t="s">
        <v>6</v>
      </c>
    </row>
    <row r="12" spans="1:23">
      <c r="C12" t="s">
        <v>2</v>
      </c>
      <c r="D12" s="1">
        <v>22.387758074274</v>
      </c>
      <c r="L12" t="s">
        <v>2</v>
      </c>
      <c r="M12">
        <v>22.885108949999999</v>
      </c>
      <c r="T12" t="s">
        <v>2</v>
      </c>
      <c r="U12">
        <v>22.885108949999999</v>
      </c>
    </row>
    <row r="13" spans="1:23">
      <c r="C13" t="s">
        <v>3</v>
      </c>
      <c r="D13" s="1">
        <v>161.356224395401</v>
      </c>
      <c r="L13" t="s">
        <v>3</v>
      </c>
      <c r="M13">
        <v>193.73530579999999</v>
      </c>
      <c r="T13" t="s">
        <v>3</v>
      </c>
      <c r="U13">
        <v>107.7420044</v>
      </c>
    </row>
    <row r="14" spans="1:23">
      <c r="C14" t="s">
        <v>4</v>
      </c>
      <c r="D14" s="1">
        <v>139.46300794461101</v>
      </c>
      <c r="L14" t="s">
        <v>4</v>
      </c>
      <c r="M14">
        <v>308.00930790000001</v>
      </c>
      <c r="T14" t="s">
        <v>4</v>
      </c>
      <c r="U14">
        <v>182.93357850000001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McMurtrey</dc:creator>
  <cp:lastModifiedBy>Shawn McMurtrey</cp:lastModifiedBy>
  <dcterms:created xsi:type="dcterms:W3CDTF">2022-03-02T00:59:22Z</dcterms:created>
  <dcterms:modified xsi:type="dcterms:W3CDTF">2022-03-04T21:20:59Z</dcterms:modified>
</cp:coreProperties>
</file>