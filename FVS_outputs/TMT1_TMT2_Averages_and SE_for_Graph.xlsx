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8_{46D4CAB4-4F4C-459D-9DB8-813AFC1880B2}" xr6:coauthVersionLast="47" xr6:coauthVersionMax="47" xr10:uidLastSave="{00000000-0000-0000-0000-000000000000}"/>
  <bookViews>
    <workbookView xWindow="-110" yWindow="-110" windowWidth="19420" windowHeight="11020" xr2:uid="{08BF4E82-A721-433E-9499-E4802F81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" i="1" l="1"/>
  <c r="N19" i="1"/>
  <c r="N18" i="1"/>
  <c r="M20" i="1"/>
  <c r="M19" i="1"/>
  <c r="M18" i="1"/>
  <c r="M2" i="1"/>
  <c r="G20" i="1"/>
  <c r="G19" i="1"/>
  <c r="G18" i="1"/>
  <c r="G2" i="1"/>
  <c r="E20" i="1"/>
  <c r="E19" i="1"/>
  <c r="E18" i="1"/>
  <c r="E2" i="1"/>
  <c r="N4" i="1"/>
  <c r="N3" i="1"/>
  <c r="N2" i="1"/>
  <c r="M4" i="1"/>
  <c r="M3" i="1"/>
  <c r="G4" i="1"/>
  <c r="G3" i="1"/>
  <c r="E4" i="1"/>
  <c r="E3" i="1"/>
</calcChain>
</file>

<file path=xl/sharedStrings.xml><?xml version="1.0" encoding="utf-8"?>
<sst xmlns="http://schemas.openxmlformats.org/spreadsheetml/2006/main" count="148" uniqueCount="21">
  <si>
    <t>TRMT1</t>
  </si>
  <si>
    <t>STND2</t>
  </si>
  <si>
    <t>A001</t>
  </si>
  <si>
    <t>1022</t>
  </si>
  <si>
    <t>1995</t>
  </si>
  <si>
    <t>2011</t>
  </si>
  <si>
    <t>2020</t>
  </si>
  <si>
    <t>STND4</t>
  </si>
  <si>
    <t>1044</t>
  </si>
  <si>
    <t>STND5</t>
  </si>
  <si>
    <t>1055</t>
  </si>
  <si>
    <t>Year</t>
  </si>
  <si>
    <t>Actual_ BA_fpa</t>
  </si>
  <si>
    <t>Mean_Actual_ BA_fpa</t>
  </si>
  <si>
    <t>SE</t>
  </si>
  <si>
    <t>FVS_BA_fpa</t>
  </si>
  <si>
    <t>TMT2</t>
  </si>
  <si>
    <t>STAND1</t>
  </si>
  <si>
    <t>TRMT2</t>
  </si>
  <si>
    <t>STND3</t>
  </si>
  <si>
    <t>Mean_FVS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</si>
</sst>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9"/>
      <color rgb="FF3A3A3A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04C-9B10-4D38-BC4C-5BE21FEB724E}">
  <dimension ref="A1:N41"/>
  <sheetViews>
    <sheetView tabSelected="1" topLeftCell="E4" workbookViewId="0">
      <selection activeCell="O16" sqref="O16"/>
    </sheetView>
  </sheetViews>
  <sheetFormatPr defaultRowHeight="14.5"/>
  <cols>
    <col min="4" max="4" width="20.1796875" customWidth="1"/>
    <col min="5" max="6" width="36.1796875" customWidth="1"/>
    <col min="12" max="12" width="20.36328125" customWidth="1"/>
  </cols>
  <sheetData>
    <row r="1" spans="1:14">
      <c r="A1" t="s">
        <v>0</v>
      </c>
      <c r="B1" t="s">
        <v>1</v>
      </c>
      <c r="C1" t="s">
        <v>11</v>
      </c>
      <c r="D1" t="s">
        <v>12</v>
      </c>
      <c r="E1" t="s">
        <v>13</v>
      </c>
      <c r="G1" t="s">
        <v>14</v>
      </c>
      <c r="I1" t="s">
        <v>0</v>
      </c>
      <c r="J1" t="s">
        <v>1</v>
      </c>
      <c r="K1" t="s">
        <v>11</v>
      </c>
      <c r="L1" t="s">
        <v>15</v>
      </c>
      <c r="M1" t="s">
        <v>20</v>
      </c>
      <c r="N1" t="s">
        <v>14</v>
      </c>
    </row>
    <row r="2" spans="1:14" ht="15.5">
      <c r="C2" t="s">
        <v>4</v>
      </c>
      <c r="D2" s="1">
        <v>22.949535511383001</v>
      </c>
      <c r="E2">
        <f>AVERAGE(D2,D7,D12)</f>
        <v>20.582143577706933</v>
      </c>
      <c r="G2" s="1">
        <f>STDEV(D2,D7,D12)/SQRT(COUNT(D2,D7,D12))</f>
        <v>2.0927960142951574</v>
      </c>
      <c r="H2" s="2"/>
      <c r="K2" t="s">
        <v>4</v>
      </c>
      <c r="L2">
        <v>22.949468612670898</v>
      </c>
      <c r="M2">
        <f>AVERAGE(L2,L7,L12)</f>
        <v>20.747887930029297</v>
      </c>
      <c r="N2" s="1">
        <f>STDEV(L2,L7,L12)/SQRT(COUNT(L2,L7,L12))</f>
        <v>2.1694804064943223</v>
      </c>
    </row>
    <row r="3" spans="1:14">
      <c r="C3" t="s">
        <v>5</v>
      </c>
      <c r="D3" s="1">
        <v>152.85931338837699</v>
      </c>
      <c r="E3">
        <f>AVERAGE(D3,D8,D13)</f>
        <v>147.818164434251</v>
      </c>
      <c r="G3" s="1">
        <f>STDEV(D3,D8,D13)/SQRT(COUNT(D3,D8,D13))</f>
        <v>9.6079763235800595</v>
      </c>
      <c r="K3" t="s">
        <v>5</v>
      </c>
      <c r="L3">
        <v>95.863075256347699</v>
      </c>
      <c r="M3">
        <f t="shared" ref="M3:M4" si="0">AVERAGE(L3,L8,L13)</f>
        <v>93.084465027194028</v>
      </c>
      <c r="N3" s="1">
        <f>STDEV(L3,L8,L13)/SQRT(COUNT(L3,L8,L13))</f>
        <v>2.729347550831883</v>
      </c>
    </row>
    <row r="4" spans="1:14">
      <c r="C4" t="s">
        <v>6</v>
      </c>
      <c r="D4" s="1">
        <v>149.86640403145</v>
      </c>
      <c r="E4">
        <f>AVERAGE(D4,D9,D14)</f>
        <v>144.98301971979868</v>
      </c>
      <c r="G4" s="1">
        <f>STDEV(D4,D9,D14)/SQRT(COUNT(D4,D9,D14))</f>
        <v>3.0200239199058645</v>
      </c>
      <c r="K4" t="s">
        <v>6</v>
      </c>
      <c r="L4">
        <v>147.81053161621099</v>
      </c>
      <c r="M4">
        <f t="shared" si="0"/>
        <v>146.33112083873701</v>
      </c>
      <c r="N4" s="1">
        <f>STDEV(L4,L9,L14)/SQRT(COUNT(L4,L9,L14))</f>
        <v>1.3735904205707898</v>
      </c>
    </row>
    <row r="6" spans="1:14">
      <c r="A6" t="s">
        <v>0</v>
      </c>
      <c r="B6" t="s">
        <v>7</v>
      </c>
      <c r="I6" t="s">
        <v>0</v>
      </c>
      <c r="J6" t="s">
        <v>7</v>
      </c>
    </row>
    <row r="7" spans="1:14">
      <c r="C7" t="s">
        <v>4</v>
      </c>
      <c r="D7" s="1">
        <v>16.409137147463799</v>
      </c>
      <c r="K7" t="s">
        <v>4</v>
      </c>
      <c r="L7">
        <v>16.409086227416999</v>
      </c>
    </row>
    <row r="8" spans="1:14">
      <c r="C8" t="s">
        <v>5</v>
      </c>
      <c r="D8" s="1">
        <v>129.23895551897499</v>
      </c>
      <c r="K8" t="s">
        <v>5</v>
      </c>
      <c r="L8">
        <v>87.626068115234403</v>
      </c>
    </row>
    <row r="9" spans="1:14">
      <c r="C9" t="s">
        <v>6</v>
      </c>
      <c r="D9" s="1">
        <v>145.61964718333499</v>
      </c>
      <c r="K9" t="s">
        <v>6</v>
      </c>
      <c r="L9">
        <v>143.58673099999999</v>
      </c>
    </row>
    <row r="11" spans="1:14">
      <c r="A11" t="s">
        <v>0</v>
      </c>
      <c r="B11" t="s">
        <v>9</v>
      </c>
      <c r="I11" t="s">
        <v>0</v>
      </c>
      <c r="J11" t="s">
        <v>9</v>
      </c>
    </row>
    <row r="12" spans="1:14">
      <c r="C12" t="s">
        <v>4</v>
      </c>
      <c r="D12" s="1">
        <v>22.387758074274</v>
      </c>
      <c r="K12" t="s">
        <v>4</v>
      </c>
      <c r="L12">
        <v>22.885108949999999</v>
      </c>
    </row>
    <row r="13" spans="1:14">
      <c r="C13" t="s">
        <v>5</v>
      </c>
      <c r="D13" s="1">
        <v>161.356224395401</v>
      </c>
      <c r="K13" t="s">
        <v>5</v>
      </c>
      <c r="L13">
        <v>95.764251709999996</v>
      </c>
    </row>
    <row r="14" spans="1:14">
      <c r="C14" t="s">
        <v>6</v>
      </c>
      <c r="D14" s="1">
        <v>139.46300794461101</v>
      </c>
      <c r="K14" t="s">
        <v>6</v>
      </c>
      <c r="L14">
        <v>147.59609990000001</v>
      </c>
    </row>
    <row r="17" spans="1:14">
      <c r="A17" t="s">
        <v>16</v>
      </c>
      <c r="B17" t="s">
        <v>17</v>
      </c>
    </row>
    <row r="18" spans="1:14">
      <c r="A18" t="s">
        <v>2</v>
      </c>
      <c r="B18" t="s">
        <v>3</v>
      </c>
      <c r="C18" t="s">
        <v>4</v>
      </c>
      <c r="D18" s="1">
        <v>5.7495466320666697</v>
      </c>
      <c r="E18">
        <f>AVERAGE(D18,D23,D28,D33,D38)</f>
        <v>6.2607972610671352</v>
      </c>
      <c r="G18">
        <f>STDEV(D18,D23,D28,D33,D38)/SQRT(COUNT(D18,D23,D28,D33,D38))</f>
        <v>1.2684746589145623</v>
      </c>
      <c r="I18" t="s">
        <v>16</v>
      </c>
      <c r="J18" t="s">
        <v>17</v>
      </c>
      <c r="K18" t="s">
        <v>4</v>
      </c>
      <c r="L18">
        <v>5.7495326999999996</v>
      </c>
      <c r="M18">
        <f>AVERAGE(L18,L23,L28,L33,L38)</f>
        <v>6.2607792377503895</v>
      </c>
      <c r="N18">
        <f>STDEV(L18,L23,L28,L33,L38)/SQRT(COUNT(L18,L23,L28,L33,L38))</f>
        <v>1.2684703863255244</v>
      </c>
    </row>
    <row r="19" spans="1:14">
      <c r="A19" t="s">
        <v>2</v>
      </c>
      <c r="B19" t="s">
        <v>3</v>
      </c>
      <c r="C19" t="s">
        <v>5</v>
      </c>
      <c r="D19" s="1">
        <v>156.851314764774</v>
      </c>
      <c r="E19">
        <f>AVERAGE(D19,D24,D29,D34,D39)</f>
        <v>133.20866383129527</v>
      </c>
      <c r="G19">
        <f>STDEV(D19,D24,D29,D34,D39)/SQRT(COUNT(D19,D24,D29,D34,D39))</f>
        <v>14.951664770439448</v>
      </c>
      <c r="I19" t="s">
        <v>2</v>
      </c>
      <c r="J19" t="s">
        <v>3</v>
      </c>
      <c r="K19" t="s">
        <v>5</v>
      </c>
      <c r="L19">
        <v>74.696533200000005</v>
      </c>
      <c r="M19">
        <f>AVERAGE(L19,L24,L29,L34,L39)</f>
        <v>73.929719542757823</v>
      </c>
      <c r="N19">
        <f>STDEV(L19,L24,L29,L34,L39)/SQRT(COUNT(L19,L24,L29,L34,L39))</f>
        <v>5.7390330394114031</v>
      </c>
    </row>
    <row r="20" spans="1:14">
      <c r="A20" t="s">
        <v>2</v>
      </c>
      <c r="B20" t="s">
        <v>3</v>
      </c>
      <c r="C20" t="s">
        <v>6</v>
      </c>
      <c r="D20" s="1">
        <v>203.48341270966401</v>
      </c>
      <c r="E20">
        <f>AVERAGE(D20,D25,D30,D35,D40)</f>
        <v>148.60611633527498</v>
      </c>
      <c r="G20">
        <f>STDEV(D20,D25,D30,D35,D40)/SQRT(COUNT(D20,D25,D30,D35,D40))</f>
        <v>18.871667990442045</v>
      </c>
      <c r="I20" t="s">
        <v>2</v>
      </c>
      <c r="J20" t="s">
        <v>3</v>
      </c>
      <c r="K20" t="s">
        <v>6</v>
      </c>
      <c r="L20">
        <v>140.27005004882801</v>
      </c>
      <c r="M20">
        <f>AVERAGE(L20,L25,L30,L35,L40)</f>
        <v>137.96311188677743</v>
      </c>
      <c r="N20">
        <f>STDEV(L20,L25,L30,L35,L40)/SQRT(COUNT(L20,L25,L30,L35,L40))</f>
        <v>8.7446189656561284</v>
      </c>
    </row>
    <row r="21" spans="1:14">
      <c r="D21" s="1"/>
      <c r="I21" t="s">
        <v>2</v>
      </c>
      <c r="J21" t="s">
        <v>3</v>
      </c>
    </row>
    <row r="22" spans="1:14">
      <c r="A22" t="s">
        <v>18</v>
      </c>
      <c r="B22" t="s">
        <v>1</v>
      </c>
      <c r="D22" s="1"/>
    </row>
    <row r="23" spans="1:14">
      <c r="A23" t="s">
        <v>2</v>
      </c>
      <c r="B23" t="s">
        <v>8</v>
      </c>
      <c r="C23" t="s">
        <v>4</v>
      </c>
      <c r="D23" s="1">
        <v>8.0448710653964692</v>
      </c>
      <c r="I23" t="s">
        <v>18</v>
      </c>
      <c r="J23" t="s">
        <v>1</v>
      </c>
      <c r="K23" t="s">
        <v>4</v>
      </c>
      <c r="L23">
        <v>8.0448493957519496</v>
      </c>
    </row>
    <row r="24" spans="1:14">
      <c r="A24" t="s">
        <v>2</v>
      </c>
      <c r="B24" t="s">
        <v>8</v>
      </c>
      <c r="C24" t="s">
        <v>5</v>
      </c>
      <c r="D24" s="1">
        <v>168.050866117781</v>
      </c>
      <c r="I24" t="s">
        <v>2</v>
      </c>
      <c r="J24" t="s">
        <v>8</v>
      </c>
      <c r="K24" t="s">
        <v>5</v>
      </c>
      <c r="L24">
        <v>79.087905883789105</v>
      </c>
    </row>
    <row r="25" spans="1:14">
      <c r="A25" t="s">
        <v>2</v>
      </c>
      <c r="B25" t="s">
        <v>8</v>
      </c>
      <c r="C25" t="s">
        <v>6</v>
      </c>
      <c r="D25" s="1">
        <v>184.62140082895101</v>
      </c>
      <c r="I25" t="s">
        <v>2</v>
      </c>
      <c r="J25" t="s">
        <v>8</v>
      </c>
      <c r="K25" t="s">
        <v>6</v>
      </c>
      <c r="L25">
        <v>143.96606449999999</v>
      </c>
    </row>
    <row r="26" spans="1:14">
      <c r="D26" s="1"/>
      <c r="I26" t="s">
        <v>2</v>
      </c>
      <c r="J26" t="s">
        <v>8</v>
      </c>
    </row>
    <row r="27" spans="1:14">
      <c r="A27" t="s">
        <v>18</v>
      </c>
      <c r="B27" t="s">
        <v>19</v>
      </c>
      <c r="D27" s="1"/>
    </row>
    <row r="28" spans="1:14">
      <c r="A28" t="s">
        <v>2</v>
      </c>
      <c r="B28" t="s">
        <v>10</v>
      </c>
      <c r="C28" t="s">
        <v>4</v>
      </c>
      <c r="D28" s="1">
        <v>5.1932255264924203</v>
      </c>
      <c r="I28" t="s">
        <v>18</v>
      </c>
      <c r="J28" t="s">
        <v>19</v>
      </c>
      <c r="K28" t="s">
        <v>4</v>
      </c>
      <c r="L28">
        <v>5.1932115550000004</v>
      </c>
    </row>
    <row r="29" spans="1:14">
      <c r="A29" t="s">
        <v>2</v>
      </c>
      <c r="B29" t="s">
        <v>10</v>
      </c>
      <c r="C29" t="s">
        <v>5</v>
      </c>
      <c r="D29" s="1">
        <v>100.068505717627</v>
      </c>
      <c r="I29" t="s">
        <v>2</v>
      </c>
      <c r="J29" t="s">
        <v>10</v>
      </c>
      <c r="K29" t="s">
        <v>5</v>
      </c>
      <c r="L29">
        <v>72.947288510000007</v>
      </c>
    </row>
    <row r="30" spans="1:14">
      <c r="A30" t="s">
        <v>2</v>
      </c>
      <c r="B30" t="s">
        <v>10</v>
      </c>
      <c r="C30" t="s">
        <v>6</v>
      </c>
      <c r="D30" s="1">
        <v>115.572553255668</v>
      </c>
      <c r="I30" t="s">
        <v>2</v>
      </c>
      <c r="J30" t="s">
        <v>10</v>
      </c>
      <c r="K30" t="s">
        <v>6</v>
      </c>
      <c r="L30">
        <v>138.66200259999999</v>
      </c>
    </row>
    <row r="31" spans="1:14">
      <c r="D31" s="1"/>
      <c r="I31" t="s">
        <v>2</v>
      </c>
      <c r="J31" t="s">
        <v>10</v>
      </c>
    </row>
    <row r="32" spans="1:14">
      <c r="A32" t="s">
        <v>18</v>
      </c>
      <c r="B32" t="s">
        <v>7</v>
      </c>
      <c r="D32" s="1"/>
    </row>
    <row r="33" spans="1:12">
      <c r="A33" t="s">
        <v>2</v>
      </c>
      <c r="B33" t="s">
        <v>10</v>
      </c>
      <c r="C33" t="s">
        <v>4</v>
      </c>
      <c r="D33" s="1">
        <v>2.4449863058955401</v>
      </c>
      <c r="I33" t="s">
        <v>18</v>
      </c>
      <c r="J33" t="s">
        <v>7</v>
      </c>
      <c r="K33" t="s">
        <v>4</v>
      </c>
      <c r="L33">
        <v>2.444978952</v>
      </c>
    </row>
    <row r="34" spans="1:12">
      <c r="A34" t="s">
        <v>2</v>
      </c>
      <c r="B34" t="s">
        <v>10</v>
      </c>
      <c r="C34" t="s">
        <v>5</v>
      </c>
      <c r="D34" s="1">
        <v>95.251491580289198</v>
      </c>
      <c r="I34" t="s">
        <v>2</v>
      </c>
      <c r="J34" t="s">
        <v>10</v>
      </c>
      <c r="K34" t="s">
        <v>5</v>
      </c>
      <c r="L34">
        <v>53.874984740000002</v>
      </c>
    </row>
    <row r="35" spans="1:12">
      <c r="A35" t="s">
        <v>2</v>
      </c>
      <c r="B35" t="s">
        <v>10</v>
      </c>
      <c r="C35" t="s">
        <v>6</v>
      </c>
      <c r="D35" s="1">
        <v>114.7203275433</v>
      </c>
      <c r="I35" t="s">
        <v>2</v>
      </c>
      <c r="J35" t="s">
        <v>10</v>
      </c>
      <c r="K35" t="s">
        <v>6</v>
      </c>
      <c r="L35">
        <v>106.56130218505901</v>
      </c>
    </row>
    <row r="36" spans="1:12">
      <c r="D36" s="1"/>
      <c r="I36" t="s">
        <v>2</v>
      </c>
      <c r="J36" t="s">
        <v>10</v>
      </c>
    </row>
    <row r="37" spans="1:12">
      <c r="A37" t="s">
        <v>18</v>
      </c>
      <c r="B37" t="s">
        <v>9</v>
      </c>
      <c r="D37" s="1"/>
    </row>
    <row r="38" spans="1:12">
      <c r="A38" t="s">
        <v>2</v>
      </c>
      <c r="B38" t="s">
        <v>10</v>
      </c>
      <c r="C38" t="s">
        <v>4</v>
      </c>
      <c r="D38" s="1">
        <v>9.8713567754845801</v>
      </c>
      <c r="I38" t="s">
        <v>18</v>
      </c>
      <c r="J38" t="s">
        <v>9</v>
      </c>
      <c r="K38" t="s">
        <v>4</v>
      </c>
      <c r="L38">
        <v>9.8713235860000008</v>
      </c>
    </row>
    <row r="39" spans="1:12">
      <c r="A39" t="s">
        <v>2</v>
      </c>
      <c r="B39" t="s">
        <v>10</v>
      </c>
      <c r="C39" t="s">
        <v>5</v>
      </c>
      <c r="D39" s="1">
        <v>145.82114097600501</v>
      </c>
      <c r="I39" t="s">
        <v>2</v>
      </c>
      <c r="J39" t="s">
        <v>10</v>
      </c>
      <c r="K39" t="s">
        <v>5</v>
      </c>
      <c r="L39">
        <v>89.041885379999997</v>
      </c>
    </row>
    <row r="40" spans="1:12">
      <c r="A40" t="s">
        <v>2</v>
      </c>
      <c r="B40" t="s">
        <v>10</v>
      </c>
      <c r="C40" t="s">
        <v>6</v>
      </c>
      <c r="D40" s="1">
        <v>124.632887338792</v>
      </c>
      <c r="I40" t="s">
        <v>2</v>
      </c>
      <c r="J40" t="s">
        <v>10</v>
      </c>
      <c r="K40" t="s">
        <v>6</v>
      </c>
      <c r="L40">
        <v>160.3561401</v>
      </c>
    </row>
    <row r="41" spans="1:12">
      <c r="I41" t="s">
        <v>2</v>
      </c>
      <c r="J4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2022-03-02T00:59:22Z</dcterms:created>
  <dcterms:modified xsi:type="dcterms:W3CDTF">2022-03-02T20:17:29Z</dcterms:modified>
</cp:coreProperties>
</file>