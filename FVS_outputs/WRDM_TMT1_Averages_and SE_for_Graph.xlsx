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wn\Desktop\"/>
    </mc:Choice>
  </mc:AlternateContent>
  <xr:revisionPtr revIDLastSave="0" documentId="8_{3ABE6B69-AC9C-4FD3-8C67-56E9029C5784}" xr6:coauthVersionLast="47" xr6:coauthVersionMax="47" xr10:uidLastSave="{00000000-0000-0000-0000-000000000000}"/>
  <bookViews>
    <workbookView xWindow="-28920" yWindow="-120" windowWidth="29040" windowHeight="16440" xr2:uid="{08BF4E82-A721-433E-9499-E4802F81A3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T4" i="1" l="1"/>
  <c r="T3" i="1"/>
  <c r="T2" i="1"/>
  <c r="S4" i="1"/>
  <c r="S3" i="1"/>
  <c r="S2" i="1"/>
  <c r="M4" i="1"/>
  <c r="M3" i="1"/>
  <c r="M2" i="1"/>
  <c r="L4" i="1"/>
  <c r="L3" i="1"/>
  <c r="L2" i="1"/>
  <c r="F4" i="1"/>
  <c r="F3" i="1"/>
  <c r="F2" i="1"/>
  <c r="E4" i="1"/>
  <c r="E3" i="1"/>
  <c r="E2" i="1"/>
</calcChain>
</file>

<file path=xl/sharedStrings.xml><?xml version="1.0" encoding="utf-8"?>
<sst xmlns="http://schemas.openxmlformats.org/spreadsheetml/2006/main" count="53" uniqueCount="13">
  <si>
    <t>TRMT1</t>
  </si>
  <si>
    <t>STND2</t>
  </si>
  <si>
    <t>1995</t>
  </si>
  <si>
    <t>2011</t>
  </si>
  <si>
    <t>2020</t>
  </si>
  <si>
    <t>STND4</t>
  </si>
  <si>
    <t>STND5</t>
  </si>
  <si>
    <t>Year</t>
  </si>
  <si>
    <t>Actual_ BA_fpa</t>
  </si>
  <si>
    <t>Mean_Actual_ BA_fpa</t>
  </si>
  <si>
    <t>SE</t>
  </si>
  <si>
    <t>FVS_BA_fpa</t>
  </si>
  <si>
    <t>WRDM_BA_fpa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</si>
</sst>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0"/>
      <color rgb="FF000000"/>
      <name val="Arial Unicode MS"/>
    </font>
    <font>
      <b/>
      <sz val="9"/>
      <color rgb="FF3A3A3A"/>
      <name val="Work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D704C-9B10-4D38-BC4C-5BE21FEB724E}">
  <dimension ref="A1:T14"/>
  <sheetViews>
    <sheetView tabSelected="1" topLeftCell="D1" workbookViewId="0">
      <selection activeCell="T5" sqref="T5"/>
    </sheetView>
  </sheetViews>
  <sheetFormatPr defaultRowHeight="14.5"/>
  <cols>
    <col min="4" max="4" width="20.1796875" customWidth="1"/>
    <col min="5" max="5" width="36.1796875" customWidth="1"/>
    <col min="11" max="11" width="20.36328125" customWidth="1"/>
    <col min="18" max="18" width="19.08984375" customWidth="1"/>
  </cols>
  <sheetData>
    <row r="1" spans="1:20">
      <c r="A1" t="s">
        <v>0</v>
      </c>
      <c r="B1" t="s">
        <v>1</v>
      </c>
      <c r="C1" t="s">
        <v>7</v>
      </c>
      <c r="D1" t="s">
        <v>8</v>
      </c>
      <c r="E1" t="s">
        <v>9</v>
      </c>
      <c r="F1" t="s">
        <v>10</v>
      </c>
      <c r="H1" t="s">
        <v>0</v>
      </c>
      <c r="I1" t="s">
        <v>1</v>
      </c>
      <c r="J1" t="s">
        <v>7</v>
      </c>
      <c r="K1" t="s">
        <v>11</v>
      </c>
      <c r="O1" t="s">
        <v>0</v>
      </c>
      <c r="P1" t="s">
        <v>1</v>
      </c>
      <c r="Q1" t="s">
        <v>7</v>
      </c>
      <c r="R1" t="s">
        <v>12</v>
      </c>
    </row>
    <row r="2" spans="1:20" ht="15.5">
      <c r="C2" t="s">
        <v>2</v>
      </c>
      <c r="D2" s="1">
        <v>22.949535511383001</v>
      </c>
      <c r="E2">
        <f>AVERAGE(D2,D7,D12)</f>
        <v>20.582143577706933</v>
      </c>
      <c r="F2" s="1">
        <f>STDEV(D2,D7,D12)/SQRT(COUNT(D2,D7,D12))</f>
        <v>2.0927960142951574</v>
      </c>
      <c r="G2" s="2"/>
      <c r="J2" t="s">
        <v>2</v>
      </c>
      <c r="K2">
        <v>22.949468612670898</v>
      </c>
      <c r="L2">
        <f>AVERAGE(K2,K7,K12)</f>
        <v>20.747887930029297</v>
      </c>
      <c r="M2" s="1">
        <f>STDEV(K2,K7,K12)/SQRT(COUNT(K2,K7,K12))</f>
        <v>2.1694804064943223</v>
      </c>
      <c r="Q2" t="s">
        <v>2</v>
      </c>
      <c r="R2">
        <v>22.949468612670898</v>
      </c>
      <c r="S2">
        <f>AVERAGE(R2,R7,R12)</f>
        <v>20.747887930029297</v>
      </c>
      <c r="T2" s="1">
        <f>STDEV(R2,R7,R12)/SQRT(COUNT(R2,R7,R12))</f>
        <v>2.1694804064943223</v>
      </c>
    </row>
    <row r="3" spans="1:20">
      <c r="C3" t="s">
        <v>3</v>
      </c>
      <c r="D3" s="1">
        <v>152.85931338837699</v>
      </c>
      <c r="E3">
        <f>AVERAGE(D3,D8,D13)</f>
        <v>147.818164434251</v>
      </c>
      <c r="F3" s="1">
        <f>STDEV(D3,D8,D13)/SQRT(COUNT(D3,D8,D13))</f>
        <v>9.6079763235800595</v>
      </c>
      <c r="J3" t="s">
        <v>3</v>
      </c>
      <c r="K3">
        <v>95.863075256347699</v>
      </c>
      <c r="L3">
        <f t="shared" ref="L3:L4" si="0">AVERAGE(K3,K8,K13)</f>
        <v>93.084465027194028</v>
      </c>
      <c r="M3" s="1">
        <f>STDEV(K3,K8,K13)/SQRT(COUNT(K3,K8,K13))</f>
        <v>2.729347550831883</v>
      </c>
      <c r="Q3" t="s">
        <v>3</v>
      </c>
      <c r="R3">
        <v>93.294021606445298</v>
      </c>
      <c r="S3">
        <f>AVERAGE(R3,R8,R13)</f>
        <v>71.010284423769534</v>
      </c>
      <c r="T3" s="1">
        <f>STDEV(R3,R8,R13)/SQRT(COUNT(R3,R8,R13))</f>
        <v>11.865118925021205</v>
      </c>
    </row>
    <row r="4" spans="1:20">
      <c r="C4" t="s">
        <v>4</v>
      </c>
      <c r="D4" s="1">
        <v>149.86640403145</v>
      </c>
      <c r="E4">
        <f>AVERAGE(D4,D9,D14)</f>
        <v>144.98301971979868</v>
      </c>
      <c r="F4" s="1">
        <f>STDEV(D4,D9,D14)/SQRT(COUNT(D4,D9,D14))</f>
        <v>3.0200239199058645</v>
      </c>
      <c r="J4" t="s">
        <v>4</v>
      </c>
      <c r="K4">
        <v>147.81053161621099</v>
      </c>
      <c r="L4">
        <f t="shared" si="0"/>
        <v>146.33112083873701</v>
      </c>
      <c r="M4" s="1">
        <f>STDEV(K4,K9,K14)/SQRT(COUNT(K4,K9,K14))</f>
        <v>1.3735904205707898</v>
      </c>
      <c r="Q4" t="s">
        <v>4</v>
      </c>
      <c r="R4">
        <v>144.16160579999999</v>
      </c>
      <c r="S4">
        <f>AVERAGE(R4,R9,R14)</f>
        <v>116.10204822800767</v>
      </c>
      <c r="T4" s="1">
        <f>STDEV(R4,R9,R14)/SQRT(COUNT(R4,R9,R14))</f>
        <v>16.668533925609673</v>
      </c>
    </row>
    <row r="6" spans="1:20">
      <c r="A6" t="s">
        <v>0</v>
      </c>
      <c r="B6" t="s">
        <v>5</v>
      </c>
      <c r="H6" t="s">
        <v>0</v>
      </c>
      <c r="I6" t="s">
        <v>5</v>
      </c>
      <c r="O6" t="s">
        <v>0</v>
      </c>
      <c r="P6" t="s">
        <v>5</v>
      </c>
    </row>
    <row r="7" spans="1:20">
      <c r="C7" t="s">
        <v>2</v>
      </c>
      <c r="D7" s="1">
        <v>16.409137147463799</v>
      </c>
      <c r="J7" t="s">
        <v>2</v>
      </c>
      <c r="K7">
        <v>16.409086227416999</v>
      </c>
      <c r="Q7" t="s">
        <v>2</v>
      </c>
      <c r="R7">
        <v>16.409086227416999</v>
      </c>
    </row>
    <row r="8" spans="1:20">
      <c r="C8" t="s">
        <v>3</v>
      </c>
      <c r="D8" s="1">
        <v>129.23895551897499</v>
      </c>
      <c r="J8" t="s">
        <v>3</v>
      </c>
      <c r="K8">
        <v>87.626068115234403</v>
      </c>
      <c r="Q8" t="s">
        <v>3</v>
      </c>
      <c r="R8">
        <v>66.933784484863295</v>
      </c>
    </row>
    <row r="9" spans="1:20">
      <c r="C9" t="s">
        <v>4</v>
      </c>
      <c r="D9" s="1">
        <v>145.61964718333499</v>
      </c>
      <c r="J9" t="s">
        <v>4</v>
      </c>
      <c r="K9">
        <v>143.58673099999999</v>
      </c>
      <c r="Q9" t="s">
        <v>4</v>
      </c>
      <c r="R9">
        <v>117.661239624023</v>
      </c>
    </row>
    <row r="11" spans="1:20">
      <c r="A11" t="s">
        <v>0</v>
      </c>
      <c r="B11" t="s">
        <v>6</v>
      </c>
      <c r="H11" t="s">
        <v>0</v>
      </c>
      <c r="I11" t="s">
        <v>6</v>
      </c>
      <c r="O11" t="s">
        <v>0</v>
      </c>
      <c r="P11" t="s">
        <v>6</v>
      </c>
    </row>
    <row r="12" spans="1:20">
      <c r="C12" t="s">
        <v>2</v>
      </c>
      <c r="D12" s="1">
        <v>22.387758074274</v>
      </c>
      <c r="J12" t="s">
        <v>2</v>
      </c>
      <c r="K12">
        <v>22.885108949999999</v>
      </c>
      <c r="Q12" t="s">
        <v>2</v>
      </c>
      <c r="R12">
        <v>22.885108949999999</v>
      </c>
    </row>
    <row r="13" spans="1:20">
      <c r="C13" t="s">
        <v>3</v>
      </c>
      <c r="D13" s="1">
        <v>161.356224395401</v>
      </c>
      <c r="J13" t="s">
        <v>3</v>
      </c>
      <c r="K13">
        <v>95.764251709999996</v>
      </c>
      <c r="Q13" t="s">
        <v>3</v>
      </c>
      <c r="R13">
        <v>52.80304718</v>
      </c>
    </row>
    <row r="14" spans="1:20">
      <c r="C14" t="s">
        <v>4</v>
      </c>
      <c r="D14" s="1">
        <v>139.46300794461101</v>
      </c>
      <c r="J14" t="s">
        <v>4</v>
      </c>
      <c r="K14">
        <v>147.59609990000001</v>
      </c>
      <c r="Q14" t="s">
        <v>4</v>
      </c>
      <c r="R14">
        <v>86.483299259999995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Shawn McMurtrey</dc:creator>
  <cp:lastModifiedBy>Shawn McMurtrey</cp:lastModifiedBy>
  <dcterms:created xsi:type="dcterms:W3CDTF">2022-03-02T00:59:22Z</dcterms:created>
  <dcterms:modified xsi:type="dcterms:W3CDTF">2022-03-03T19:55:45Z</dcterms:modified>
</cp:coreProperties>
</file>