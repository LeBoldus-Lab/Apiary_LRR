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owalt_d\Documents\GitHub\Apiary_LRR\"/>
    </mc:Choice>
  </mc:AlternateContent>
  <xr:revisionPtr revIDLastSave="0" documentId="13_ncr:1_{2ACF233E-74BD-49EA-A0EE-38B5C2FB0B73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Poria_compass_points" sheetId="1" r:id="rId1"/>
    <sheet name="Poria_trees" sheetId="2" r:id="rId2"/>
    <sheet name="Cut_stump_compass_points" sheetId="3" r:id="rId3"/>
    <sheet name="Cut_stump_trees" sheetId="4" r:id="rId4"/>
    <sheet name="Plot_corners" sheetId="5" r:id="rId5"/>
    <sheet name="map_chain" sheetId="6" r:id="rId6"/>
    <sheet name="Lat_long" sheetId="7" r:id="rId7"/>
  </sheets>
  <calcPr calcId="191029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L192" i="7" l="1"/>
  <c r="K192" i="7"/>
  <c r="L191" i="7"/>
  <c r="K191" i="7"/>
  <c r="L190" i="7"/>
  <c r="K190" i="7"/>
  <c r="L189" i="7"/>
  <c r="K189" i="7"/>
  <c r="L188" i="7"/>
  <c r="K188" i="7"/>
  <c r="L187" i="7"/>
  <c r="K187" i="7"/>
  <c r="L186" i="7"/>
  <c r="K186" i="7"/>
  <c r="L185" i="7"/>
  <c r="K185" i="7"/>
  <c r="L184" i="7"/>
  <c r="K184" i="7"/>
  <c r="L183" i="7"/>
  <c r="K183" i="7"/>
  <c r="L182" i="7"/>
  <c r="K182" i="7"/>
  <c r="L181" i="7"/>
  <c r="K181" i="7"/>
  <c r="L180" i="7"/>
  <c r="K180" i="7"/>
  <c r="L179" i="7"/>
  <c r="K179" i="7"/>
  <c r="L178" i="7"/>
  <c r="K178" i="7"/>
  <c r="L177" i="7"/>
  <c r="K177" i="7"/>
  <c r="L176" i="7"/>
  <c r="K176" i="7"/>
  <c r="L175" i="7"/>
  <c r="K175" i="7"/>
  <c r="L174" i="7"/>
  <c r="K174" i="7"/>
  <c r="L173" i="7"/>
  <c r="K173" i="7"/>
  <c r="L172" i="7"/>
  <c r="K172" i="7"/>
  <c r="L171" i="7"/>
  <c r="K171" i="7"/>
  <c r="L170" i="7"/>
  <c r="K170" i="7"/>
  <c r="L169" i="7"/>
  <c r="K169" i="7"/>
  <c r="L168" i="7"/>
  <c r="K168" i="7"/>
  <c r="L167" i="7"/>
  <c r="K167" i="7"/>
  <c r="L166" i="7"/>
  <c r="K166" i="7"/>
  <c r="L165" i="7"/>
  <c r="K165" i="7"/>
  <c r="L164" i="7"/>
  <c r="K164" i="7"/>
  <c r="L163" i="7"/>
  <c r="K163" i="7"/>
  <c r="L162" i="7"/>
  <c r="K162" i="7"/>
  <c r="L161" i="7"/>
  <c r="K161" i="7"/>
  <c r="L160" i="7"/>
  <c r="K160" i="7"/>
  <c r="L159" i="7"/>
  <c r="K159" i="7"/>
  <c r="L158" i="7"/>
  <c r="K158" i="7"/>
  <c r="L157" i="7"/>
  <c r="K157" i="7"/>
  <c r="L156" i="7"/>
  <c r="K156" i="7"/>
  <c r="L155" i="7"/>
  <c r="K155" i="7"/>
  <c r="L154" i="7"/>
  <c r="K154" i="7"/>
  <c r="L153" i="7"/>
  <c r="K153" i="7"/>
  <c r="L152" i="7"/>
  <c r="K152" i="7"/>
  <c r="L151" i="7"/>
  <c r="K151" i="7"/>
  <c r="L150" i="7"/>
  <c r="K150" i="7"/>
  <c r="L149" i="7"/>
  <c r="K149" i="7"/>
  <c r="L148" i="7"/>
  <c r="K148" i="7"/>
  <c r="L147" i="7"/>
  <c r="K147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K37" i="7"/>
  <c r="L36" i="7"/>
  <c r="K36" i="7"/>
  <c r="L35" i="7"/>
  <c r="K35" i="7"/>
  <c r="L34" i="7"/>
  <c r="K34" i="7"/>
  <c r="L33" i="7"/>
  <c r="K33" i="7"/>
  <c r="L32" i="7"/>
  <c r="K32" i="7"/>
  <c r="L31" i="7"/>
  <c r="K31" i="7"/>
  <c r="L30" i="7"/>
  <c r="K30" i="7"/>
  <c r="L29" i="7"/>
  <c r="K29" i="7"/>
  <c r="L28" i="7"/>
  <c r="K28" i="7"/>
  <c r="L27" i="7"/>
  <c r="K27" i="7"/>
  <c r="L26" i="7"/>
  <c r="K26" i="7"/>
  <c r="L25" i="7"/>
  <c r="K25" i="7"/>
  <c r="L24" i="7"/>
  <c r="K24" i="7"/>
  <c r="L23" i="7"/>
  <c r="K23" i="7"/>
  <c r="L22" i="7"/>
  <c r="K22" i="7"/>
  <c r="L21" i="7"/>
  <c r="K21" i="7"/>
  <c r="L20" i="7"/>
  <c r="K20" i="7"/>
  <c r="L19" i="7"/>
  <c r="K19" i="7"/>
  <c r="L18" i="7"/>
  <c r="K18" i="7"/>
  <c r="L17" i="7"/>
  <c r="K17" i="7"/>
  <c r="L16" i="7"/>
  <c r="K16" i="7"/>
  <c r="L15" i="7"/>
  <c r="K15" i="7"/>
  <c r="L14" i="7"/>
  <c r="K14" i="7"/>
  <c r="L13" i="7"/>
  <c r="K13" i="7"/>
  <c r="L12" i="7"/>
  <c r="K12" i="7"/>
  <c r="L11" i="7"/>
  <c r="K11" i="7"/>
  <c r="L10" i="7"/>
  <c r="K10" i="7"/>
  <c r="L9" i="7"/>
  <c r="K9" i="7"/>
  <c r="L8" i="7"/>
  <c r="K8" i="7"/>
  <c r="L7" i="7"/>
  <c r="K7" i="7"/>
  <c r="L6" i="7"/>
  <c r="K6" i="7"/>
  <c r="L4" i="7"/>
  <c r="K4" i="7"/>
  <c r="L3" i="7"/>
  <c r="K3" i="7"/>
</calcChain>
</file>

<file path=xl/sharedStrings.xml><?xml version="1.0" encoding="utf-8"?>
<sst xmlns="http://schemas.openxmlformats.org/spreadsheetml/2006/main" count="3807" uniqueCount="678">
  <si>
    <t>Block</t>
  </si>
  <si>
    <t>Station_1</t>
  </si>
  <si>
    <t>X_1</t>
  </si>
  <si>
    <t>Y_1</t>
  </si>
  <si>
    <t>Dist_1</t>
  </si>
  <si>
    <t>Azimuth_1</t>
  </si>
  <si>
    <t>Dir_1</t>
  </si>
  <si>
    <t>Deg_1</t>
  </si>
  <si>
    <t>Adj_1</t>
  </si>
  <si>
    <t>%_1</t>
  </si>
  <si>
    <t>Station_2</t>
  </si>
  <si>
    <t>X_2</t>
  </si>
  <si>
    <t>Y_2</t>
  </si>
  <si>
    <t>Dist_2</t>
  </si>
  <si>
    <t>Azimuth_2</t>
  </si>
  <si>
    <t>Dir_2</t>
  </si>
  <si>
    <t>Deg_2</t>
  </si>
  <si>
    <t>Adj_2</t>
  </si>
  <si>
    <t>%_2</t>
  </si>
  <si>
    <t>Station_3</t>
  </si>
  <si>
    <t>X_3</t>
  </si>
  <si>
    <t>Y_3</t>
  </si>
  <si>
    <t>Dist_3</t>
  </si>
  <si>
    <t>Azimuth_3</t>
  </si>
  <si>
    <t>Dir_3</t>
  </si>
  <si>
    <t>Deg_3</t>
  </si>
  <si>
    <t>Adj_3</t>
  </si>
  <si>
    <t>%_3</t>
  </si>
  <si>
    <t>Station_4</t>
  </si>
  <si>
    <t>X_4</t>
  </si>
  <si>
    <t>Y_4</t>
  </si>
  <si>
    <t>Dist_4</t>
  </si>
  <si>
    <t>Azimuth_4</t>
  </si>
  <si>
    <t>Dir_4</t>
  </si>
  <si>
    <t>Deg_4</t>
  </si>
  <si>
    <t>Adj_4</t>
  </si>
  <si>
    <t>%_4</t>
  </si>
  <si>
    <t>Code</t>
  </si>
  <si>
    <t>Azimuth_B</t>
  </si>
  <si>
    <t>Dist_B</t>
  </si>
  <si>
    <t>Circle</t>
  </si>
  <si>
    <t>Note</t>
  </si>
  <si>
    <t>5</t>
  </si>
  <si>
    <t>34-8</t>
  </si>
  <si>
    <t>32-8</t>
  </si>
  <si>
    <t>32-6</t>
  </si>
  <si>
    <t>34-6</t>
  </si>
  <si>
    <t>00,02</t>
  </si>
  <si>
    <t>B69. 34-8 circled</t>
  </si>
  <si>
    <t>6</t>
  </si>
  <si>
    <t>30-6</t>
  </si>
  <si>
    <t>30-8</t>
  </si>
  <si>
    <t>2,2</t>
  </si>
  <si>
    <t>B76. 32-8 circled</t>
  </si>
  <si>
    <t>7</t>
  </si>
  <si>
    <t>28-8</t>
  </si>
  <si>
    <t>6,2</t>
  </si>
  <si>
    <t>B77. 28-8 circled</t>
  </si>
  <si>
    <t>8</t>
  </si>
  <si>
    <t>26-6</t>
  </si>
  <si>
    <t>S</t>
  </si>
  <si>
    <t>W</t>
  </si>
  <si>
    <t>28-6</t>
  </si>
  <si>
    <t>N</t>
  </si>
  <si>
    <t>E</t>
  </si>
  <si>
    <t>26-8</t>
  </si>
  <si>
    <t>2,1</t>
  </si>
  <si>
    <t>B21. Block info uncertain beyond block #</t>
  </si>
  <si>
    <t>9</t>
  </si>
  <si>
    <t>24-7.5</t>
  </si>
  <si>
    <t>24-6</t>
  </si>
  <si>
    <t>B22. (24-6 to 22-6) to road has no Poria. No poria from 16-6 to road. 24-6 to 14-6 and road is clear. No tree entries.</t>
  </si>
  <si>
    <t>15</t>
  </si>
  <si>
    <t>14-7.65</t>
  </si>
  <si>
    <t>14-6</t>
  </si>
  <si>
    <t>12-6</t>
  </si>
  <si>
    <t>20,04</t>
  </si>
  <si>
    <t>B56. 14-6 circled. About 6 tree either standing or down, cause? Radius 30’ 53° 50’</t>
  </si>
  <si>
    <t>16</t>
  </si>
  <si>
    <t>10-6</t>
  </si>
  <si>
    <t>24,04</t>
  </si>
  <si>
    <t>B55. 10-6 circled</t>
  </si>
  <si>
    <t>18</t>
  </si>
  <si>
    <t>32-4</t>
  </si>
  <si>
    <t>00,04</t>
  </si>
  <si>
    <t>B70. Could be 212 or 272 for Azimuth_B. Large question mark at bottom of sheet and 3 tree entries crossed out</t>
  </si>
  <si>
    <t>19</t>
  </si>
  <si>
    <t>30-4</t>
  </si>
  <si>
    <t>4,6</t>
  </si>
  <si>
    <t>B75. 30-4 circled</t>
  </si>
  <si>
    <t>20</t>
  </si>
  <si>
    <t>28-4</t>
  </si>
  <si>
    <t>B78. 30-4 circled</t>
  </si>
  <si>
    <t>21</t>
  </si>
  <si>
    <t>26-4</t>
  </si>
  <si>
    <t>B20</t>
  </si>
  <si>
    <t>22</t>
  </si>
  <si>
    <t>24-4</t>
  </si>
  <si>
    <t>B19. 24-4 circled. Big question mark at bottom</t>
  </si>
  <si>
    <t>23</t>
  </si>
  <si>
    <t>22-4</t>
  </si>
  <si>
    <t>22-6</t>
  </si>
  <si>
    <t>B18</t>
  </si>
  <si>
    <t>24</t>
  </si>
  <si>
    <t>20-4</t>
  </si>
  <si>
    <t>20-6</t>
  </si>
  <si>
    <t>B17 S1</t>
  </si>
  <si>
    <t>25</t>
  </si>
  <si>
    <t>18-4</t>
  </si>
  <si>
    <t>18-6</t>
  </si>
  <si>
    <t>-6</t>
  </si>
  <si>
    <t>105</t>
  </si>
  <si>
    <t>84</t>
  </si>
  <si>
    <t>-4</t>
  </si>
  <si>
    <t>86</t>
  </si>
  <si>
    <t>B16. No tree entries</t>
  </si>
  <si>
    <t>26</t>
  </si>
  <si>
    <t>16-4</t>
  </si>
  <si>
    <t>16-6</t>
  </si>
  <si>
    <t>B15. No tree entries</t>
  </si>
  <si>
    <t>27</t>
  </si>
  <si>
    <t>14-4</t>
  </si>
  <si>
    <t>B14</t>
  </si>
  <si>
    <t>28</t>
  </si>
  <si>
    <t>12-4</t>
  </si>
  <si>
    <t>22,06</t>
  </si>
  <si>
    <t>B53. 50Ft 88° approx 30ft circle 5 dead trees. 12-4 circled</t>
  </si>
  <si>
    <t>29</t>
  </si>
  <si>
    <t>10-4</t>
  </si>
  <si>
    <t>22,04</t>
  </si>
  <si>
    <t>B54. 12-6 circled</t>
  </si>
  <si>
    <t>31</t>
  </si>
  <si>
    <t>32-2</t>
  </si>
  <si>
    <t>34-2</t>
  </si>
  <si>
    <t>02,06</t>
  </si>
  <si>
    <t>B71. 32-4 circled</t>
  </si>
  <si>
    <t>32</t>
  </si>
  <si>
    <t>30-2</t>
  </si>
  <si>
    <t>2,6</t>
  </si>
  <si>
    <t>B74. 32-4 circled. i.e. B032-02-06-272-087</t>
  </si>
  <si>
    <t>33</t>
  </si>
  <si>
    <t>28-2</t>
  </si>
  <si>
    <t>4,8</t>
  </si>
  <si>
    <t>B79. 30-2 circled</t>
  </si>
  <si>
    <t>34</t>
  </si>
  <si>
    <t>26-2</t>
  </si>
  <si>
    <t>B7. question mark by 28-4 station3</t>
  </si>
  <si>
    <t>35</t>
  </si>
  <si>
    <t>24-2</t>
  </si>
  <si>
    <t>B8. no tree entries</t>
  </si>
  <si>
    <t>36</t>
  </si>
  <si>
    <t>22-2</t>
  </si>
  <si>
    <t>B9. vine maple SW 30’-40’</t>
  </si>
  <si>
    <t>37</t>
  </si>
  <si>
    <t>20-2</t>
  </si>
  <si>
    <t>B10. Vine maple from 22-2 to</t>
  </si>
  <si>
    <t>38</t>
  </si>
  <si>
    <t>18-2</t>
  </si>
  <si>
    <t>B11. No tree entries</t>
  </si>
  <si>
    <t>39</t>
  </si>
  <si>
    <t>16-2</t>
  </si>
  <si>
    <t>B12. Large alder ENE 20’ to station</t>
  </si>
  <si>
    <t>40</t>
  </si>
  <si>
    <t>14-2</t>
  </si>
  <si>
    <t>B13. N65E (65°) 83’ to center of Armillaria pocket 50’ diam</t>
  </si>
  <si>
    <t>41</t>
  </si>
  <si>
    <t>12-2</t>
  </si>
  <si>
    <t>20,06</t>
  </si>
  <si>
    <t>B52. 14-4 circled</t>
  </si>
  <si>
    <t>42</t>
  </si>
  <si>
    <t>10-2</t>
  </si>
  <si>
    <t>22,08</t>
  </si>
  <si>
    <t>B51. 12-2 circled</t>
  </si>
  <si>
    <t>44</t>
  </si>
  <si>
    <t>32C</t>
  </si>
  <si>
    <t>C</t>
  </si>
  <si>
    <t>34C</t>
  </si>
  <si>
    <t>00,08</t>
  </si>
  <si>
    <t>B72. 34-2 circled</t>
  </si>
  <si>
    <t>45</t>
  </si>
  <si>
    <t>30C</t>
  </si>
  <si>
    <t>02,10</t>
  </si>
  <si>
    <t>B73. 32C circled</t>
  </si>
  <si>
    <t>46</t>
  </si>
  <si>
    <t>28C</t>
  </si>
  <si>
    <t>6,8,</t>
  </si>
  <si>
    <t>B80. 28-2 circled</t>
  </si>
  <si>
    <t>47</t>
  </si>
  <si>
    <t>26C</t>
  </si>
  <si>
    <t>06,08</t>
  </si>
  <si>
    <t>B81. 28-2 circled. Block 47. trees probably duplicated from block 7</t>
  </si>
  <si>
    <t>48</t>
  </si>
  <si>
    <t>24C</t>
  </si>
  <si>
    <t>B6 station 1</t>
  </si>
  <si>
    <t>49</t>
  </si>
  <si>
    <t>22C</t>
  </si>
  <si>
    <t>B5 station 1B</t>
  </si>
  <si>
    <t>50</t>
  </si>
  <si>
    <t>20C</t>
  </si>
  <si>
    <t>B4 station 1</t>
  </si>
  <si>
    <t>51</t>
  </si>
  <si>
    <t>18C</t>
  </si>
  <si>
    <t>B3 station 1</t>
  </si>
  <si>
    <t>52</t>
  </si>
  <si>
    <t>16C</t>
  </si>
  <si>
    <t>B2 station 1</t>
  </si>
  <si>
    <t>53</t>
  </si>
  <si>
    <t>14C</t>
  </si>
  <si>
    <t>B1 station 1</t>
  </si>
  <si>
    <t>54</t>
  </si>
  <si>
    <t>12C</t>
  </si>
  <si>
    <t>20,8</t>
  </si>
  <si>
    <t>B48. 14-2 circled</t>
  </si>
  <si>
    <t>55</t>
  </si>
  <si>
    <t>10C</t>
  </si>
  <si>
    <t>22,8</t>
  </si>
  <si>
    <t>B49. 12-2 circled</t>
  </si>
  <si>
    <t>56</t>
  </si>
  <si>
    <t>8C</t>
  </si>
  <si>
    <t>B50 station. 10-2 circled No tree entries.</t>
  </si>
  <si>
    <t>57</t>
  </si>
  <si>
    <t>24+2</t>
  </si>
  <si>
    <t>26+2</t>
  </si>
  <si>
    <t>10,12</t>
  </si>
  <si>
    <t>B28. 24+2 circled</t>
  </si>
  <si>
    <t>58</t>
  </si>
  <si>
    <t>22+2</t>
  </si>
  <si>
    <t>B27. 24+2 circled</t>
  </si>
  <si>
    <t>59</t>
  </si>
  <si>
    <t>20+2</t>
  </si>
  <si>
    <t>12,12</t>
  </si>
  <si>
    <t>B26. 22+2 circled</t>
  </si>
  <si>
    <t>60</t>
  </si>
  <si>
    <t>18+2</t>
  </si>
  <si>
    <t>16,10</t>
  </si>
  <si>
    <t>B25. 18C circled</t>
  </si>
  <si>
    <t>61</t>
  </si>
  <si>
    <t>16+2</t>
  </si>
  <si>
    <t>B24</t>
  </si>
  <si>
    <t>62</t>
  </si>
  <si>
    <t>14+2</t>
  </si>
  <si>
    <t>B23. Bearing to 16C is approximate</t>
  </si>
  <si>
    <t>63</t>
  </si>
  <si>
    <t>12+2</t>
  </si>
  <si>
    <t>20,10</t>
  </si>
  <si>
    <t>B57. 14C circled</t>
  </si>
  <si>
    <t>64</t>
  </si>
  <si>
    <t>10+2</t>
  </si>
  <si>
    <t>22,12</t>
  </si>
  <si>
    <t>B58. 12+2 circled</t>
  </si>
  <si>
    <t>65</t>
  </si>
  <si>
    <t>24,10</t>
  </si>
  <si>
    <t>B59. 10C circled</t>
  </si>
  <si>
    <t>66</t>
  </si>
  <si>
    <t>26+4</t>
  </si>
  <si>
    <t>24+4</t>
  </si>
  <si>
    <t>B29. West half of plot is open. No tree entries.</t>
  </si>
  <si>
    <t>67</t>
  </si>
  <si>
    <t>22+4</t>
  </si>
  <si>
    <t>B30. No tree entries</t>
  </si>
  <si>
    <t>68</t>
  </si>
  <si>
    <t>20+4</t>
  </si>
  <si>
    <t>12,14</t>
  </si>
  <si>
    <t>B31. 22+4 circled</t>
  </si>
  <si>
    <t>69</t>
  </si>
  <si>
    <t>18+4</t>
  </si>
  <si>
    <t>14,12</t>
  </si>
  <si>
    <t>B32. 20+2 circled</t>
  </si>
  <si>
    <t>70</t>
  </si>
  <si>
    <t>16+4</t>
  </si>
  <si>
    <t>18,14</t>
  </si>
  <si>
    <t>B33. 16+4 circled</t>
  </si>
  <si>
    <t>71</t>
  </si>
  <si>
    <t>14+4</t>
  </si>
  <si>
    <t>18,12</t>
  </si>
  <si>
    <t>B34. 16+2 circled</t>
  </si>
  <si>
    <t>72</t>
  </si>
  <si>
    <t>20,12</t>
  </si>
  <si>
    <t>B60. 14+2 circled</t>
  </si>
  <si>
    <t>73</t>
  </si>
  <si>
    <t>12+4</t>
  </si>
  <si>
    <t>24,12</t>
  </si>
  <si>
    <t>B63. 10+2 circled. Touching SW corner, hole in stand 100-150’ in diameter 290° from compass</t>
  </si>
  <si>
    <t>74</t>
  </si>
  <si>
    <t>26+6</t>
  </si>
  <si>
    <t>28+4</t>
  </si>
  <si>
    <t>28+6</t>
  </si>
  <si>
    <t>B41. 2 large alder trees east of 26+6. No tree entries</t>
  </si>
  <si>
    <t>75</t>
  </si>
  <si>
    <t>24+6</t>
  </si>
  <si>
    <t>B40. No tree entries</t>
  </si>
  <si>
    <t>76</t>
  </si>
  <si>
    <t>22+6</t>
  </si>
  <si>
    <t>B39. No tree entries</t>
  </si>
  <si>
    <t>77</t>
  </si>
  <si>
    <t>20+6</t>
  </si>
  <si>
    <t>B38. No tree entries. Big alder 45’ west of center. Alder pocket in north corner. 1 alder at station. 8 alder at 20+6</t>
  </si>
  <si>
    <t>78</t>
  </si>
  <si>
    <t>18+6</t>
  </si>
  <si>
    <t>16,16</t>
  </si>
  <si>
    <t>B37. 18+6 circled. 3 alders at 20+6. 2 Alders ~ 5’ 81° of center</t>
  </si>
  <si>
    <t>79</t>
  </si>
  <si>
    <t>16+6</t>
  </si>
  <si>
    <t>B36. 18+6 circled.</t>
  </si>
  <si>
    <t>80</t>
  </si>
  <si>
    <t>14+6</t>
  </si>
  <si>
    <t>20,14</t>
  </si>
  <si>
    <t>B35. 14+4 circled. Large question mark over block info</t>
  </si>
  <si>
    <t>81a</t>
  </si>
  <si>
    <t>B61. Note Block 81 has two compass locations relative to 12+4 and 12+6. Noted as “skip for now”. 12+4 circled</t>
  </si>
  <si>
    <t>81b</t>
  </si>
  <si>
    <t>12+6</t>
  </si>
  <si>
    <t>B61. Note Block 81 has two compass locations relative to 12+4 and 12+6. Noted as “skip for now”. 12+6 circled</t>
  </si>
  <si>
    <t>82</t>
  </si>
  <si>
    <t>12+6.18</t>
  </si>
  <si>
    <t>10+4</t>
  </si>
  <si>
    <t>22,16</t>
  </si>
  <si>
    <t>B62. 12+6.18 circled</t>
  </si>
  <si>
    <t>83</t>
  </si>
  <si>
    <t>28+8</t>
  </si>
  <si>
    <t>26+8</t>
  </si>
  <si>
    <t>B42. No tree entries.</t>
  </si>
  <si>
    <t>24+8</t>
  </si>
  <si>
    <t>B43. No tree entries. Alder pocket on line from 26+8 to 24+8</t>
  </si>
  <si>
    <t>85</t>
  </si>
  <si>
    <t>22+8</t>
  </si>
  <si>
    <t>12,16</t>
  </si>
  <si>
    <t>B44. 22+6 circled.</t>
  </si>
  <si>
    <t>20+8</t>
  </si>
  <si>
    <t>12,18</t>
  </si>
  <si>
    <t>B45. 22+8 circled. Alder pocket ~SE 50’ of center. 13” Poria surrounded by alder</t>
  </si>
  <si>
    <t>87</t>
  </si>
  <si>
    <t>18+8</t>
  </si>
  <si>
    <t>14,18</t>
  </si>
  <si>
    <t>B46. 20+8 circled.</t>
  </si>
  <si>
    <t>88</t>
  </si>
  <si>
    <t>16+8</t>
  </si>
  <si>
    <t>16,18</t>
  </si>
  <si>
    <t>B47. 18+8 circled</t>
  </si>
  <si>
    <t>89</t>
  </si>
  <si>
    <t>20,16</t>
  </si>
  <si>
    <t>B64. 14+6 circled. Compass on north edge of road</t>
  </si>
  <si>
    <t>91</t>
  </si>
  <si>
    <t>16+10</t>
  </si>
  <si>
    <t>28+10</t>
  </si>
  <si>
    <t>B68. 26+10 circled. No tree entries.</t>
  </si>
  <si>
    <t>92</t>
  </si>
  <si>
    <t>24+10</t>
  </si>
  <si>
    <t>8,18</t>
  </si>
  <si>
    <t>B67. 26+8 circled. Northeast half scattered alder. Average 9” about 40 stems. 24-26 +10 to+12 is unmapped, between roads, and has Poria pocket of 6 trees</t>
  </si>
  <si>
    <t>93</t>
  </si>
  <si>
    <t>22+10</t>
  </si>
  <si>
    <t>B66. 22+8 circled. Line between 22+8 – 24+8 midway 3 alder diameter 9”.</t>
  </si>
  <si>
    <t>94</t>
  </si>
  <si>
    <t>B65. 20+8 circled. Road 43’ 224° from compass. 22+10 lie in road junction</t>
  </si>
  <si>
    <t>Azimuth</t>
  </si>
  <si>
    <t>Dist (ft)</t>
  </si>
  <si>
    <t>Spec_SD</t>
  </si>
  <si>
    <t>Age</t>
  </si>
  <si>
    <t>Diameter (in)</t>
  </si>
  <si>
    <t>notes</t>
  </si>
  <si>
    <t>shape</t>
  </si>
  <si>
    <t>Plot</t>
  </si>
  <si>
    <t>subplot</t>
  </si>
  <si>
    <t>D</t>
  </si>
  <si>
    <t>OLD</t>
  </si>
  <si>
    <t>--</t>
  </si>
  <si>
    <t>A0</t>
  </si>
  <si>
    <t>|</t>
  </si>
  <si>
    <t>A01</t>
  </si>
  <si>
    <t>D-H</t>
  </si>
  <si>
    <t>+</t>
  </si>
  <si>
    <t>A02</t>
  </si>
  <si>
    <t>STUMP</t>
  </si>
  <si>
    <t>&lt;&gt;</t>
  </si>
  <si>
    <t>S-H</t>
  </si>
  <si>
    <t>actually in block 19</t>
  </si>
  <si>
    <t>D0</t>
  </si>
  <si>
    <t>A04</t>
  </si>
  <si>
    <t>SYMPTOMS</t>
  </si>
  <si>
    <t>actually in block 2</t>
  </si>
  <si>
    <t>A03</t>
  </si>
  <si>
    <t>actually in block 3</t>
  </si>
  <si>
    <t>C0</t>
  </si>
  <si>
    <t>Block 4</t>
  </si>
  <si>
    <t>C01</t>
  </si>
  <si>
    <t>D-WH</t>
  </si>
  <si>
    <t>C02</t>
  </si>
  <si>
    <t>A05</t>
  </si>
  <si>
    <t>example T007-195-043-DF-12-00DD</t>
  </si>
  <si>
    <t>C04</t>
  </si>
  <si>
    <t>B4</t>
  </si>
  <si>
    <t>NP</t>
  </si>
  <si>
    <t>not poria, uncertain cause. 3 trees</t>
  </si>
  <si>
    <t>not poria, uncertain cause.</t>
  </si>
  <si>
    <t>SS</t>
  </si>
  <si>
    <t>i.e. T020-340-077-DF-15-00SS</t>
  </si>
  <si>
    <t>S-WH</t>
  </si>
  <si>
    <t>i.e. T033-204-55-DF-04-00LD</t>
  </si>
  <si>
    <t>i.e. T033-218-070-ST-24-99DS</t>
  </si>
  <si>
    <t>i.e. T046-119-070-DF-14-00LS</t>
  </si>
  <si>
    <t>i.e. T047-063-088-WH-06-00LD</t>
  </si>
  <si>
    <t>Atypical</t>
  </si>
  <si>
    <t>Dist 32%</t>
  </si>
  <si>
    <t>RA</t>
  </si>
  <si>
    <t>red alder, not diseased tree</t>
  </si>
  <si>
    <t>DD</t>
  </si>
  <si>
    <t>surrounded by alder</t>
  </si>
  <si>
    <t>alder, not diseased tree</t>
  </si>
  <si>
    <t>None</t>
  </si>
  <si>
    <t>none</t>
  </si>
  <si>
    <t>“done other book” not found</t>
  </si>
  <si>
    <t>impute or estimate diameter</t>
  </si>
  <si>
    <t>3</t>
  </si>
  <si>
    <t>C03</t>
  </si>
  <si>
    <t>C05</t>
  </si>
  <si>
    <t>13</t>
  </si>
  <si>
    <t>B1</t>
  </si>
  <si>
    <t>B12</t>
  </si>
  <si>
    <t>14</t>
  </si>
  <si>
    <t>B15</t>
  </si>
  <si>
    <t>hemlock</t>
  </si>
  <si>
    <t>fungi?</t>
  </si>
  <si>
    <t>partially disturbed</t>
  </si>
  <si>
    <t>might be duplicated in plot 80</t>
  </si>
  <si>
    <t>Name</t>
  </si>
  <si>
    <t>X</t>
  </si>
  <si>
    <t>Y</t>
  </si>
  <si>
    <t>30-8.72</t>
  </si>
  <si>
    <t>Line 30 corner</t>
  </si>
  <si>
    <t>30-7.48</t>
  </si>
  <si>
    <t>outside corner A</t>
  </si>
  <si>
    <t>28-7.48</t>
  </si>
  <si>
    <t>N corner A</t>
  </si>
  <si>
    <t>22.94-6.54</t>
  </si>
  <si>
    <t>E corner BIII</t>
  </si>
  <si>
    <t>22.94-4.40</t>
  </si>
  <si>
    <t>W corner B</t>
  </si>
  <si>
    <t>22.94-2.43</t>
  </si>
  <si>
    <t>S corner BIII</t>
  </si>
  <si>
    <t>26-4.40</t>
  </si>
  <si>
    <t>outside corner B-E</t>
  </si>
  <si>
    <t>28.55-4</t>
  </si>
  <si>
    <t>28.55-6</t>
  </si>
  <si>
    <t>N corner D</t>
  </si>
  <si>
    <t>32.56-6</t>
  </si>
  <si>
    <t>E corner D</t>
  </si>
  <si>
    <t>32.13-4</t>
  </si>
  <si>
    <t>south D</t>
  </si>
  <si>
    <t>26-1.29</t>
  </si>
  <si>
    <t>Line 26 corner</t>
  </si>
  <si>
    <t>24.20+0.40</t>
  </si>
  <si>
    <t>S corner EII</t>
  </si>
  <si>
    <t>22+.4</t>
  </si>
  <si>
    <t>E corner CIII</t>
  </si>
  <si>
    <t>19.28+.4</t>
  </si>
  <si>
    <t>S corner AIV</t>
  </si>
  <si>
    <t>18+.4</t>
  </si>
  <si>
    <t>16.50+.4</t>
  </si>
  <si>
    <t>W corner AIV</t>
  </si>
  <si>
    <t>14.55+0.40</t>
  </si>
  <si>
    <t>N corner EI</t>
  </si>
  <si>
    <t>13.61+.4</t>
  </si>
  <si>
    <t>W corner AII</t>
  </si>
  <si>
    <t>12+.4</t>
  </si>
  <si>
    <t>N corner CII</t>
  </si>
  <si>
    <t>E corner AIII</t>
  </si>
  <si>
    <t>N corner AIII</t>
  </si>
  <si>
    <t>9.24-2</t>
  </si>
  <si>
    <t>N corner EIII</t>
  </si>
  <si>
    <t>13.62-2</t>
  </si>
  <si>
    <t>E corner E III</t>
  </si>
  <si>
    <t>S corner EIV</t>
  </si>
  <si>
    <t>16.5-2.43</t>
  </si>
  <si>
    <t>N corner AIV</t>
  </si>
  <si>
    <t>16.73-2.43</t>
  </si>
  <si>
    <t>W corner BIII</t>
  </si>
  <si>
    <t>19.28-2.43</t>
  </si>
  <si>
    <t>E corner AIV</t>
  </si>
  <si>
    <t>20-2.43</t>
  </si>
  <si>
    <t>16.73-4</t>
  </si>
  <si>
    <t>E corner DI</t>
  </si>
  <si>
    <t>W corner DI</t>
  </si>
  <si>
    <t>S corner CIV</t>
  </si>
  <si>
    <t>9.55-4</t>
  </si>
  <si>
    <t>9.12-6</t>
  </si>
  <si>
    <t>N corner CIV</t>
  </si>
  <si>
    <t>E corner CIV</t>
  </si>
  <si>
    <t>14-7.66</t>
  </si>
  <si>
    <t>N corner DI</t>
  </si>
  <si>
    <t>16.73-7.4</t>
  </si>
  <si>
    <t>8+2</t>
  </si>
  <si>
    <t>N corner DIV</t>
  </si>
  <si>
    <t>S corner AIII</t>
  </si>
  <si>
    <t>12.49+2</t>
  </si>
  <si>
    <t>E corner DIV</t>
  </si>
  <si>
    <t>12.49+4</t>
  </si>
  <si>
    <t>S corner DIV</t>
  </si>
  <si>
    <t>8+4</t>
  </si>
  <si>
    <t>E corner AI</t>
  </si>
  <si>
    <t>14.55+3.54</t>
  </si>
  <si>
    <t>135° corner</t>
  </si>
  <si>
    <t>14.55+2.41</t>
  </si>
  <si>
    <t>N corner CI</t>
  </si>
  <si>
    <t>17.04+2.41</t>
  </si>
  <si>
    <t>N corner DIII</t>
  </si>
  <si>
    <t>18+2.41</t>
  </si>
  <si>
    <t>S corner EI</t>
  </si>
  <si>
    <t>22+2.41</t>
  </si>
  <si>
    <t>S corner CIII</t>
  </si>
  <si>
    <t>22+4.37</t>
  </si>
  <si>
    <t>S corner DIII</t>
  </si>
  <si>
    <t>18.65+4.37</t>
  </si>
  <si>
    <t>N corner DII</t>
  </si>
  <si>
    <t>17.04+4.26</t>
  </si>
  <si>
    <t>W corner DII</t>
  </si>
  <si>
    <t>16.23+4.26</t>
  </si>
  <si>
    <t>outside corner CI</t>
  </si>
  <si>
    <t>16.23+4.90</t>
  </si>
  <si>
    <t>outside corner BII</t>
  </si>
  <si>
    <t>14+4.90</t>
  </si>
  <si>
    <t>N corner BII</t>
  </si>
  <si>
    <t>14+6.06</t>
  </si>
  <si>
    <t>S corner AI</t>
  </si>
  <si>
    <t>18.65+7.93</t>
  </si>
  <si>
    <t>N corner BI</t>
  </si>
  <si>
    <t>S corner DII</t>
  </si>
  <si>
    <t>25.5+8</t>
  </si>
  <si>
    <t>E corner (north) BI</t>
  </si>
  <si>
    <t>Grid Block</t>
  </si>
  <si>
    <t>Survey Block</t>
  </si>
  <si>
    <t>Computer X</t>
  </si>
  <si>
    <t>Pre-harvest count</t>
  </si>
  <si>
    <t>Pre-harvest not old</t>
  </si>
  <si>
    <t>Post-harvest count</t>
  </si>
  <si>
    <t>Chain X</t>
  </si>
  <si>
    <t>Computer Y</t>
  </si>
  <si>
    <t>Chain Y</t>
  </si>
  <si>
    <t>2 chain lengths (132’)</t>
  </si>
  <si>
    <t>Vertex</t>
  </si>
  <si>
    <t>Chain_X</t>
  </si>
  <si>
    <t>Chain_Y</t>
  </si>
  <si>
    <t>Station_X</t>
  </si>
  <si>
    <t>Station_Y</t>
  </si>
  <si>
    <t>Azim</t>
  </si>
  <si>
    <t>Dist</t>
  </si>
  <si>
    <t>Grid_X</t>
  </si>
  <si>
    <t>Grid_Y</t>
  </si>
  <si>
    <t>Lat</t>
  </si>
  <si>
    <t>Long</t>
  </si>
  <si>
    <t>Lat_range</t>
  </si>
  <si>
    <t>Long_range</t>
  </si>
  <si>
    <t>Lat_unit</t>
  </si>
  <si>
    <t>Long_unit</t>
  </si>
  <si>
    <t>There seems to be some error in how I plotted the chain grid and plot centers here. When mapping the corners and plot centers in ArcGIS things look fine. Maybe try plotting a few of the chain grid points in ArcGIS</t>
  </si>
  <si>
    <t>34,-10 
0,0</t>
  </si>
  <si>
    <t>34,+14
0,12</t>
  </si>
  <si>
    <t>8,+14
13,12</t>
  </si>
  <si>
    <t>8,-10
13,0</t>
  </si>
  <si>
    <t>14,C
10,5</t>
  </si>
  <si>
    <t>A11</t>
  </si>
  <si>
    <t>A12</t>
  </si>
  <si>
    <t>A13</t>
  </si>
  <si>
    <t>A14</t>
  </si>
  <si>
    <t>A15</t>
  </si>
  <si>
    <t>A21</t>
  </si>
  <si>
    <t>A22</t>
  </si>
  <si>
    <t>A23</t>
  </si>
  <si>
    <t>A24</t>
  </si>
  <si>
    <t>A25</t>
  </si>
  <si>
    <t>A31</t>
  </si>
  <si>
    <t>A32</t>
  </si>
  <si>
    <t>A33</t>
  </si>
  <si>
    <t>A34</t>
  </si>
  <si>
    <t>A35</t>
  </si>
  <si>
    <t>A41</t>
  </si>
  <si>
    <t>A42</t>
  </si>
  <si>
    <t>A43</t>
  </si>
  <si>
    <t>A44</t>
  </si>
  <si>
    <t>A45</t>
  </si>
  <si>
    <t>B01</t>
  </si>
  <si>
    <t>B02</t>
  </si>
  <si>
    <t>B03</t>
  </si>
  <si>
    <t>B04</t>
  </si>
  <si>
    <t>B05</t>
  </si>
  <si>
    <t>B11</t>
  </si>
  <si>
    <t>B13</t>
  </si>
  <si>
    <t>B21</t>
  </si>
  <si>
    <t>B22</t>
  </si>
  <si>
    <t>B23</t>
  </si>
  <si>
    <t>B25</t>
  </si>
  <si>
    <t>B31</t>
  </si>
  <si>
    <t>B32</t>
  </si>
  <si>
    <t>B33</t>
  </si>
  <si>
    <t>B34</t>
  </si>
  <si>
    <t>B35</t>
  </si>
  <si>
    <t>B41</t>
  </si>
  <si>
    <t>B42</t>
  </si>
  <si>
    <t>B43</t>
  </si>
  <si>
    <t>B44</t>
  </si>
  <si>
    <t>B45</t>
  </si>
  <si>
    <t>C11</t>
  </si>
  <si>
    <t>C12</t>
  </si>
  <si>
    <t>C13</t>
  </si>
  <si>
    <t>C14</t>
  </si>
  <si>
    <t>C15</t>
  </si>
  <si>
    <t>C21</t>
  </si>
  <si>
    <t>C22</t>
  </si>
  <si>
    <t>C23</t>
  </si>
  <si>
    <t>C24</t>
  </si>
  <si>
    <t>C25</t>
  </si>
  <si>
    <t>C31</t>
  </si>
  <si>
    <t>C32</t>
  </si>
  <si>
    <t>C33</t>
  </si>
  <si>
    <t>C34</t>
  </si>
  <si>
    <t>C35</t>
  </si>
  <si>
    <t>C41</t>
  </si>
  <si>
    <t>C42</t>
  </si>
  <si>
    <t>C43</t>
  </si>
  <si>
    <t>C44</t>
  </si>
  <si>
    <t>C45</t>
  </si>
  <si>
    <t>D01</t>
  </si>
  <si>
    <t>D02</t>
  </si>
  <si>
    <t>D03</t>
  </si>
  <si>
    <t>D04</t>
  </si>
  <si>
    <t>D05</t>
  </si>
  <si>
    <t>D11</t>
  </si>
  <si>
    <t>D12</t>
  </si>
  <si>
    <t>D13</t>
  </si>
  <si>
    <t>D14</t>
  </si>
  <si>
    <t>D15</t>
  </si>
  <si>
    <t>D21</t>
  </si>
  <si>
    <t>D22</t>
  </si>
  <si>
    <t>D23</t>
  </si>
  <si>
    <t>D24</t>
  </si>
  <si>
    <t>D25</t>
  </si>
  <si>
    <t>D31</t>
  </si>
  <si>
    <t>D32</t>
  </si>
  <si>
    <t>D33</t>
  </si>
  <si>
    <t>D34</t>
  </si>
  <si>
    <t>D35</t>
  </si>
  <si>
    <t>D41</t>
  </si>
  <si>
    <t>D42</t>
  </si>
  <si>
    <t>D43</t>
  </si>
  <si>
    <t>D44</t>
  </si>
  <si>
    <t>D45</t>
  </si>
  <si>
    <t>E01</t>
  </si>
  <si>
    <t>E02</t>
  </si>
  <si>
    <t>E03</t>
  </si>
  <si>
    <t>E04</t>
  </si>
  <si>
    <t>E05</t>
  </si>
  <si>
    <t>E11</t>
  </si>
  <si>
    <t>E12</t>
  </si>
  <si>
    <t>E13</t>
  </si>
  <si>
    <t>E14</t>
  </si>
  <si>
    <t>E15</t>
  </si>
  <si>
    <t>E21</t>
  </si>
  <si>
    <t>E22</t>
  </si>
  <si>
    <t>E23</t>
  </si>
  <si>
    <t>E24</t>
  </si>
  <si>
    <t>E25</t>
  </si>
  <si>
    <t>E31</t>
  </si>
  <si>
    <t>E32</t>
  </si>
  <si>
    <t>E33</t>
  </si>
  <si>
    <t>E34</t>
  </si>
  <si>
    <t>E35</t>
  </si>
  <si>
    <t>E41</t>
  </si>
  <si>
    <t>E42</t>
  </si>
  <si>
    <t>E43</t>
  </si>
  <si>
    <t>E44</t>
  </si>
  <si>
    <t>E45</t>
  </si>
  <si>
    <t>Dir</t>
  </si>
  <si>
    <t>Deg</t>
  </si>
  <si>
    <t>Adj</t>
  </si>
  <si>
    <t>4.5</t>
  </si>
  <si>
    <t>M</t>
  </si>
  <si>
    <t>84.5</t>
  </si>
  <si>
    <t>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</si>
</sst>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20"/>
      <name val="Arial"/>
      <family val="2"/>
    </font>
    <font>
      <sz val="24"/>
      <name val="Arial"/>
      <family val="2"/>
    </font>
    <font>
      <sz val="48"/>
      <name val="Arial"/>
    </font>
    <font>
      <sz val="4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49" fontId="0" fillId="0" borderId="0" xfId="0" applyNumberFormat="1"/>
    <xf numFmtId="0" fontId="0" fillId="0" borderId="0" xfId="0" applyFont="1"/>
    <xf numFmtId="0" fontId="0" fillId="0" borderId="0" xfId="0" applyAlignment="1">
      <alignment vertical="top"/>
    </xf>
    <xf numFmtId="0" fontId="0" fillId="0" borderId="0" xfId="0" applyFont="1" applyAlignment="1">
      <alignment vertical="top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11" xfId="0" applyFill="1" applyBorder="1"/>
    <xf numFmtId="0" fontId="1" fillId="3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3" fillId="0" borderId="0" xfId="0" applyFont="1" applyBorder="1" applyAlignment="1">
      <alignment horizontal="right"/>
    </xf>
    <xf numFmtId="0" fontId="4" fillId="0" borderId="0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B5E9B"/>
      <rgbColor rgb="FFB3B3B3"/>
      <rgbColor rgb="FF003366"/>
      <rgbColor rgb="FF579D1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circle"/>
            <c:size val="2"/>
            <c:spPr>
              <a:solidFill>
                <a:srgbClr val="0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Lat_long!$L$7:$L$188</c:f>
              <c:numCache>
                <c:formatCode>General</c:formatCode>
                <c:ptCount val="182"/>
                <c:pt idx="0">
                  <c:v>-123.07626974999999</c:v>
                </c:pt>
                <c:pt idx="1">
                  <c:v>-123.07652561499999</c:v>
                </c:pt>
                <c:pt idx="2">
                  <c:v>-123.07678147999999</c:v>
                </c:pt>
                <c:pt idx="3">
                  <c:v>-123.07703734499999</c:v>
                </c:pt>
                <c:pt idx="4">
                  <c:v>-123.07729320999999</c:v>
                </c:pt>
                <c:pt idx="5">
                  <c:v>-123.07754907499999</c:v>
                </c:pt>
                <c:pt idx="6">
                  <c:v>-123.07780493999999</c:v>
                </c:pt>
                <c:pt idx="7">
                  <c:v>-123.07806080499999</c:v>
                </c:pt>
                <c:pt idx="8">
                  <c:v>-123.07831666999999</c:v>
                </c:pt>
                <c:pt idx="9">
                  <c:v>-123.07857253499999</c:v>
                </c:pt>
                <c:pt idx="10">
                  <c:v>-123.07882839999999</c:v>
                </c:pt>
                <c:pt idx="11">
                  <c:v>-123.07908426499999</c:v>
                </c:pt>
                <c:pt idx="12">
                  <c:v>-123.07934012999999</c:v>
                </c:pt>
                <c:pt idx="13">
                  <c:v>-123.07663162499999</c:v>
                </c:pt>
                <c:pt idx="14">
                  <c:v>-123.07688748999999</c:v>
                </c:pt>
                <c:pt idx="15">
                  <c:v>-123.07714335499999</c:v>
                </c:pt>
                <c:pt idx="16">
                  <c:v>-123.07739921999999</c:v>
                </c:pt>
                <c:pt idx="17">
                  <c:v>-123.07765508499999</c:v>
                </c:pt>
                <c:pt idx="18">
                  <c:v>-123.07791094999999</c:v>
                </c:pt>
                <c:pt idx="19">
                  <c:v>-123.07816681499999</c:v>
                </c:pt>
                <c:pt idx="20">
                  <c:v>-123.07842267999999</c:v>
                </c:pt>
                <c:pt idx="21">
                  <c:v>-123.07867854499999</c:v>
                </c:pt>
                <c:pt idx="22">
                  <c:v>-123.07893440999999</c:v>
                </c:pt>
                <c:pt idx="23">
                  <c:v>-123.07919027499999</c:v>
                </c:pt>
                <c:pt idx="24">
                  <c:v>-123.07944613999999</c:v>
                </c:pt>
                <c:pt idx="25">
                  <c:v>-123.07970200499999</c:v>
                </c:pt>
                <c:pt idx="26">
                  <c:v>-123.0769935</c:v>
                </c:pt>
                <c:pt idx="27">
                  <c:v>-123.077249365</c:v>
                </c:pt>
                <c:pt idx="28">
                  <c:v>-123.07750523</c:v>
                </c:pt>
                <c:pt idx="29">
                  <c:v>-123.077761095</c:v>
                </c:pt>
                <c:pt idx="30">
                  <c:v>-123.07801696</c:v>
                </c:pt>
                <c:pt idx="31">
                  <c:v>-123.078272825</c:v>
                </c:pt>
                <c:pt idx="32">
                  <c:v>-123.07852869</c:v>
                </c:pt>
                <c:pt idx="33">
                  <c:v>-123.078784555</c:v>
                </c:pt>
                <c:pt idx="34">
                  <c:v>-123.07904042</c:v>
                </c:pt>
                <c:pt idx="35">
                  <c:v>-123.079296285</c:v>
                </c:pt>
                <c:pt idx="36">
                  <c:v>-123.07955215</c:v>
                </c:pt>
                <c:pt idx="37">
                  <c:v>-123.079808015</c:v>
                </c:pt>
                <c:pt idx="38">
                  <c:v>-123.08006388</c:v>
                </c:pt>
                <c:pt idx="39">
                  <c:v>-123.077355375</c:v>
                </c:pt>
                <c:pt idx="40">
                  <c:v>-123.07761124</c:v>
                </c:pt>
                <c:pt idx="41">
                  <c:v>-123.077867105</c:v>
                </c:pt>
                <c:pt idx="42">
                  <c:v>-123.07812297</c:v>
                </c:pt>
                <c:pt idx="43">
                  <c:v>-123.078378835</c:v>
                </c:pt>
                <c:pt idx="44">
                  <c:v>-123.07863469999999</c:v>
                </c:pt>
                <c:pt idx="45">
                  <c:v>-123.07889056499999</c:v>
                </c:pt>
                <c:pt idx="46">
                  <c:v>-123.07914642999999</c:v>
                </c:pt>
                <c:pt idx="47">
                  <c:v>-123.07940229499999</c:v>
                </c:pt>
                <c:pt idx="48">
                  <c:v>-123.07965815999999</c:v>
                </c:pt>
                <c:pt idx="49">
                  <c:v>-123.07991402499999</c:v>
                </c:pt>
                <c:pt idx="50">
                  <c:v>-123.08016988999999</c:v>
                </c:pt>
                <c:pt idx="51">
                  <c:v>-123.08042575499999</c:v>
                </c:pt>
                <c:pt idx="52">
                  <c:v>-123.07771724999999</c:v>
                </c:pt>
                <c:pt idx="53">
                  <c:v>-123.07797311499999</c:v>
                </c:pt>
                <c:pt idx="54">
                  <c:v>-123.07822897999999</c:v>
                </c:pt>
                <c:pt idx="55">
                  <c:v>-123.07848484499999</c:v>
                </c:pt>
                <c:pt idx="56">
                  <c:v>-123.07874070999999</c:v>
                </c:pt>
                <c:pt idx="57">
                  <c:v>-123.07899657499999</c:v>
                </c:pt>
                <c:pt idx="58">
                  <c:v>-123.07925243999999</c:v>
                </c:pt>
                <c:pt idx="59">
                  <c:v>-123.07950830499999</c:v>
                </c:pt>
                <c:pt idx="60">
                  <c:v>-123.07976416999999</c:v>
                </c:pt>
                <c:pt idx="61">
                  <c:v>-123.08002003499999</c:v>
                </c:pt>
                <c:pt idx="62">
                  <c:v>-123.08027589999999</c:v>
                </c:pt>
                <c:pt idx="63">
                  <c:v>-123.08053176499999</c:v>
                </c:pt>
                <c:pt idx="64">
                  <c:v>-123.08078762999999</c:v>
                </c:pt>
                <c:pt idx="65">
                  <c:v>-123.07807912499999</c:v>
                </c:pt>
                <c:pt idx="66">
                  <c:v>-123.07833498999999</c:v>
                </c:pt>
                <c:pt idx="67">
                  <c:v>-123.07859085499999</c:v>
                </c:pt>
                <c:pt idx="68">
                  <c:v>-123.07884671999999</c:v>
                </c:pt>
                <c:pt idx="69">
                  <c:v>-123.07910258499999</c:v>
                </c:pt>
                <c:pt idx="70">
                  <c:v>-123.07935844999999</c:v>
                </c:pt>
                <c:pt idx="71">
                  <c:v>-123.07961431499999</c:v>
                </c:pt>
                <c:pt idx="72">
                  <c:v>-123.07987017999999</c:v>
                </c:pt>
                <c:pt idx="73">
                  <c:v>-123.08012604499999</c:v>
                </c:pt>
                <c:pt idx="74">
                  <c:v>-123.08038190999999</c:v>
                </c:pt>
                <c:pt idx="75">
                  <c:v>-123.08063777499999</c:v>
                </c:pt>
                <c:pt idx="76">
                  <c:v>-123.08089363999999</c:v>
                </c:pt>
                <c:pt idx="77">
                  <c:v>-123.08114950499998</c:v>
                </c:pt>
                <c:pt idx="78">
                  <c:v>-123.078441</c:v>
                </c:pt>
                <c:pt idx="79">
                  <c:v>-123.078696865</c:v>
                </c:pt>
                <c:pt idx="80">
                  <c:v>-123.07895273</c:v>
                </c:pt>
                <c:pt idx="81">
                  <c:v>-123.079208595</c:v>
                </c:pt>
                <c:pt idx="82">
                  <c:v>-123.07946446</c:v>
                </c:pt>
                <c:pt idx="83">
                  <c:v>-123.079720325</c:v>
                </c:pt>
                <c:pt idx="84">
                  <c:v>-123.07997619</c:v>
                </c:pt>
                <c:pt idx="85">
                  <c:v>-123.080232055</c:v>
                </c:pt>
                <c:pt idx="86">
                  <c:v>-123.08048792</c:v>
                </c:pt>
                <c:pt idx="87">
                  <c:v>-123.080743785</c:v>
                </c:pt>
                <c:pt idx="88">
                  <c:v>-123.08099965</c:v>
                </c:pt>
                <c:pt idx="89">
                  <c:v>-123.081255515</c:v>
                </c:pt>
                <c:pt idx="90">
                  <c:v>-123.08151137999999</c:v>
                </c:pt>
                <c:pt idx="91">
                  <c:v>-123.07880287499999</c:v>
                </c:pt>
                <c:pt idx="92">
                  <c:v>-123.07905873999999</c:v>
                </c:pt>
                <c:pt idx="93">
                  <c:v>-123.07931460499999</c:v>
                </c:pt>
                <c:pt idx="94">
                  <c:v>-123.07957046999999</c:v>
                </c:pt>
                <c:pt idx="95">
                  <c:v>-123.07982633499999</c:v>
                </c:pt>
                <c:pt idx="96">
                  <c:v>-123.08008219999999</c:v>
                </c:pt>
                <c:pt idx="97">
                  <c:v>-123.08033806499999</c:v>
                </c:pt>
                <c:pt idx="98">
                  <c:v>-123.08059392999999</c:v>
                </c:pt>
                <c:pt idx="99">
                  <c:v>-123.08084979499999</c:v>
                </c:pt>
                <c:pt idx="100">
                  <c:v>-123.08110565999999</c:v>
                </c:pt>
                <c:pt idx="101">
                  <c:v>-123.08136152499999</c:v>
                </c:pt>
                <c:pt idx="102">
                  <c:v>-123.08161738999999</c:v>
                </c:pt>
                <c:pt idx="103">
                  <c:v>-123.08187325499999</c:v>
                </c:pt>
                <c:pt idx="104">
                  <c:v>-123.07916474999999</c:v>
                </c:pt>
                <c:pt idx="105">
                  <c:v>-123.07942061499999</c:v>
                </c:pt>
                <c:pt idx="106">
                  <c:v>-123.07967647999999</c:v>
                </c:pt>
                <c:pt idx="107">
                  <c:v>-123.07993234499999</c:v>
                </c:pt>
                <c:pt idx="108">
                  <c:v>-123.08018820999999</c:v>
                </c:pt>
                <c:pt idx="109">
                  <c:v>-123.08044407499999</c:v>
                </c:pt>
                <c:pt idx="110">
                  <c:v>-123.08069993999999</c:v>
                </c:pt>
                <c:pt idx="111">
                  <c:v>-123.08095580499999</c:v>
                </c:pt>
                <c:pt idx="112">
                  <c:v>-123.08121166999999</c:v>
                </c:pt>
                <c:pt idx="113">
                  <c:v>-123.08146753499999</c:v>
                </c:pt>
                <c:pt idx="114">
                  <c:v>-123.08172339999999</c:v>
                </c:pt>
                <c:pt idx="115">
                  <c:v>-123.08197926499999</c:v>
                </c:pt>
                <c:pt idx="116">
                  <c:v>-123.08223512999999</c:v>
                </c:pt>
                <c:pt idx="117">
                  <c:v>-123.079526625</c:v>
                </c:pt>
                <c:pt idx="118">
                  <c:v>-123.07978249</c:v>
                </c:pt>
                <c:pt idx="119">
                  <c:v>-123.080038355</c:v>
                </c:pt>
                <c:pt idx="120">
                  <c:v>-123.08029422</c:v>
                </c:pt>
                <c:pt idx="121">
                  <c:v>-123.080550085</c:v>
                </c:pt>
                <c:pt idx="122">
                  <c:v>-123.08080595</c:v>
                </c:pt>
                <c:pt idx="123">
                  <c:v>-123.081061815</c:v>
                </c:pt>
                <c:pt idx="124">
                  <c:v>-123.08131768</c:v>
                </c:pt>
                <c:pt idx="125">
                  <c:v>-123.081573545</c:v>
                </c:pt>
                <c:pt idx="126">
                  <c:v>-123.08182941</c:v>
                </c:pt>
                <c:pt idx="127">
                  <c:v>-123.082085275</c:v>
                </c:pt>
                <c:pt idx="128">
                  <c:v>-123.08234114</c:v>
                </c:pt>
                <c:pt idx="129">
                  <c:v>-123.082597005</c:v>
                </c:pt>
                <c:pt idx="130">
                  <c:v>-123.0798885</c:v>
                </c:pt>
                <c:pt idx="131">
                  <c:v>-123.080144365</c:v>
                </c:pt>
                <c:pt idx="132">
                  <c:v>-123.08040023</c:v>
                </c:pt>
                <c:pt idx="133">
                  <c:v>-123.08065609499999</c:v>
                </c:pt>
                <c:pt idx="134">
                  <c:v>-123.08091195999999</c:v>
                </c:pt>
                <c:pt idx="135">
                  <c:v>-123.08116782499999</c:v>
                </c:pt>
                <c:pt idx="136">
                  <c:v>-123.08142368999999</c:v>
                </c:pt>
                <c:pt idx="137">
                  <c:v>-123.08167955499999</c:v>
                </c:pt>
                <c:pt idx="138">
                  <c:v>-123.08193541999999</c:v>
                </c:pt>
                <c:pt idx="139">
                  <c:v>-123.08219128499999</c:v>
                </c:pt>
                <c:pt idx="140">
                  <c:v>-123.08244714999999</c:v>
                </c:pt>
                <c:pt idx="141">
                  <c:v>-123.08270301499999</c:v>
                </c:pt>
                <c:pt idx="142">
                  <c:v>-123.08295887999999</c:v>
                </c:pt>
                <c:pt idx="143">
                  <c:v>-123.08025037499999</c:v>
                </c:pt>
                <c:pt idx="144">
                  <c:v>-123.08050623999999</c:v>
                </c:pt>
                <c:pt idx="145">
                  <c:v>-123.08076210499999</c:v>
                </c:pt>
                <c:pt idx="146">
                  <c:v>-123.08101796999999</c:v>
                </c:pt>
                <c:pt idx="147">
                  <c:v>-123.08127383499999</c:v>
                </c:pt>
                <c:pt idx="148">
                  <c:v>-123.08152969999999</c:v>
                </c:pt>
                <c:pt idx="149">
                  <c:v>-123.08178556499999</c:v>
                </c:pt>
                <c:pt idx="150">
                  <c:v>-123.08204142999999</c:v>
                </c:pt>
                <c:pt idx="151">
                  <c:v>-123.08229729499999</c:v>
                </c:pt>
                <c:pt idx="152">
                  <c:v>-123.08255315999999</c:v>
                </c:pt>
                <c:pt idx="153">
                  <c:v>-123.08280902499999</c:v>
                </c:pt>
                <c:pt idx="154">
                  <c:v>-123.08306488999999</c:v>
                </c:pt>
                <c:pt idx="155">
                  <c:v>-123.08332075499999</c:v>
                </c:pt>
                <c:pt idx="156">
                  <c:v>-123.08061225</c:v>
                </c:pt>
                <c:pt idx="157">
                  <c:v>-123.080868115</c:v>
                </c:pt>
                <c:pt idx="158">
                  <c:v>-123.08112398</c:v>
                </c:pt>
                <c:pt idx="159">
                  <c:v>-123.081379845</c:v>
                </c:pt>
                <c:pt idx="160">
                  <c:v>-123.08163571</c:v>
                </c:pt>
                <c:pt idx="161">
                  <c:v>-123.081891575</c:v>
                </c:pt>
                <c:pt idx="162">
                  <c:v>-123.08214744</c:v>
                </c:pt>
                <c:pt idx="163">
                  <c:v>-123.082403305</c:v>
                </c:pt>
                <c:pt idx="164">
                  <c:v>-123.08265917</c:v>
                </c:pt>
                <c:pt idx="165">
                  <c:v>-123.082915035</c:v>
                </c:pt>
                <c:pt idx="166">
                  <c:v>-123.0831709</c:v>
                </c:pt>
                <c:pt idx="167">
                  <c:v>-123.083426765</c:v>
                </c:pt>
                <c:pt idx="168">
                  <c:v>-123.08368263</c:v>
                </c:pt>
                <c:pt idx="169">
                  <c:v>-123.080974125</c:v>
                </c:pt>
                <c:pt idx="170">
                  <c:v>-123.08122999</c:v>
                </c:pt>
                <c:pt idx="171">
                  <c:v>-123.081485855</c:v>
                </c:pt>
                <c:pt idx="172">
                  <c:v>-123.08174172</c:v>
                </c:pt>
                <c:pt idx="173">
                  <c:v>-123.081997585</c:v>
                </c:pt>
                <c:pt idx="174">
                  <c:v>-123.08225345</c:v>
                </c:pt>
                <c:pt idx="175">
                  <c:v>-123.082509315</c:v>
                </c:pt>
                <c:pt idx="176">
                  <c:v>-123.08276518</c:v>
                </c:pt>
                <c:pt idx="177">
                  <c:v>-123.083021045</c:v>
                </c:pt>
                <c:pt idx="178">
                  <c:v>-123.08327691</c:v>
                </c:pt>
                <c:pt idx="179">
                  <c:v>-123.08353277499999</c:v>
                </c:pt>
                <c:pt idx="180">
                  <c:v>-123.08378863999999</c:v>
                </c:pt>
                <c:pt idx="181">
                  <c:v>-123.08404450499999</c:v>
                </c:pt>
              </c:numCache>
            </c:numRef>
          </c:xVal>
          <c:yVal>
            <c:numRef>
              <c:f>Lat_long!$K$7:$K$188</c:f>
              <c:numCache>
                <c:formatCode>General</c:formatCode>
                <c:ptCount val="182"/>
                <c:pt idx="0">
                  <c:v>46.001225159999997</c:v>
                </c:pt>
                <c:pt idx="1">
                  <c:v>46.000863284999994</c:v>
                </c:pt>
                <c:pt idx="2">
                  <c:v>46.000501409999998</c:v>
                </c:pt>
                <c:pt idx="3">
                  <c:v>46.000139534999995</c:v>
                </c:pt>
                <c:pt idx="4">
                  <c:v>45.999777659999999</c:v>
                </c:pt>
                <c:pt idx="5">
                  <c:v>45.999415784999997</c:v>
                </c:pt>
                <c:pt idx="6">
                  <c:v>45.999053909999994</c:v>
                </c:pt>
                <c:pt idx="7">
                  <c:v>45.998692034999998</c:v>
                </c:pt>
                <c:pt idx="8">
                  <c:v>45.998330159999995</c:v>
                </c:pt>
                <c:pt idx="9">
                  <c:v>45.997968284999999</c:v>
                </c:pt>
                <c:pt idx="10">
                  <c:v>45.997606409999996</c:v>
                </c:pt>
                <c:pt idx="11">
                  <c:v>45.997244535</c:v>
                </c:pt>
                <c:pt idx="12">
                  <c:v>45.996882659999997</c:v>
                </c:pt>
                <c:pt idx="13">
                  <c:v>46.001481024999997</c:v>
                </c:pt>
                <c:pt idx="14">
                  <c:v>46.001119149999994</c:v>
                </c:pt>
                <c:pt idx="15">
                  <c:v>46.000757274999998</c:v>
                </c:pt>
                <c:pt idx="16">
                  <c:v>46.000395399999995</c:v>
                </c:pt>
                <c:pt idx="17">
                  <c:v>46.000033524999999</c:v>
                </c:pt>
                <c:pt idx="18">
                  <c:v>45.999671649999996</c:v>
                </c:pt>
                <c:pt idx="19">
                  <c:v>45.999309774999993</c:v>
                </c:pt>
                <c:pt idx="20">
                  <c:v>45.998947899999997</c:v>
                </c:pt>
                <c:pt idx="21">
                  <c:v>45.998586024999994</c:v>
                </c:pt>
                <c:pt idx="22">
                  <c:v>45.998224149999999</c:v>
                </c:pt>
                <c:pt idx="23">
                  <c:v>45.997862274999996</c:v>
                </c:pt>
                <c:pt idx="24">
                  <c:v>45.9975004</c:v>
                </c:pt>
                <c:pt idx="25">
                  <c:v>45.997138524999997</c:v>
                </c:pt>
                <c:pt idx="26">
                  <c:v>46.001736889999997</c:v>
                </c:pt>
                <c:pt idx="27">
                  <c:v>46.001375014999994</c:v>
                </c:pt>
                <c:pt idx="28">
                  <c:v>46.001013139999998</c:v>
                </c:pt>
                <c:pt idx="29">
                  <c:v>46.000651264999995</c:v>
                </c:pt>
                <c:pt idx="30">
                  <c:v>46.000289389999999</c:v>
                </c:pt>
                <c:pt idx="31">
                  <c:v>45.999927514999996</c:v>
                </c:pt>
                <c:pt idx="32">
                  <c:v>45.999565639999993</c:v>
                </c:pt>
                <c:pt idx="33">
                  <c:v>45.999203764999997</c:v>
                </c:pt>
                <c:pt idx="34">
                  <c:v>45.998841889999994</c:v>
                </c:pt>
                <c:pt idx="35">
                  <c:v>45.998480014999998</c:v>
                </c:pt>
                <c:pt idx="36">
                  <c:v>45.998118139999995</c:v>
                </c:pt>
                <c:pt idx="37">
                  <c:v>45.997756265</c:v>
                </c:pt>
                <c:pt idx="38">
                  <c:v>45.997394389999997</c:v>
                </c:pt>
                <c:pt idx="39">
                  <c:v>46.001992754999996</c:v>
                </c:pt>
                <c:pt idx="40">
                  <c:v>46.001630879999993</c:v>
                </c:pt>
                <c:pt idx="41">
                  <c:v>46.001269004999997</c:v>
                </c:pt>
                <c:pt idx="42">
                  <c:v>46.000907129999995</c:v>
                </c:pt>
                <c:pt idx="43">
                  <c:v>46.000545254999999</c:v>
                </c:pt>
                <c:pt idx="44">
                  <c:v>46.000183379999996</c:v>
                </c:pt>
                <c:pt idx="45">
                  <c:v>45.999821504999993</c:v>
                </c:pt>
                <c:pt idx="46">
                  <c:v>45.999459629999997</c:v>
                </c:pt>
                <c:pt idx="47">
                  <c:v>45.999097754999994</c:v>
                </c:pt>
                <c:pt idx="48">
                  <c:v>45.998735879999998</c:v>
                </c:pt>
                <c:pt idx="49">
                  <c:v>45.998374004999995</c:v>
                </c:pt>
                <c:pt idx="50">
                  <c:v>45.998012129999999</c:v>
                </c:pt>
                <c:pt idx="51">
                  <c:v>45.997650254999996</c:v>
                </c:pt>
                <c:pt idx="52">
                  <c:v>46.002248619999996</c:v>
                </c:pt>
                <c:pt idx="53">
                  <c:v>46.001886744999993</c:v>
                </c:pt>
                <c:pt idx="54">
                  <c:v>46.001524869999997</c:v>
                </c:pt>
                <c:pt idx="55">
                  <c:v>46.001162994999994</c:v>
                </c:pt>
                <c:pt idx="56">
                  <c:v>46.000801119999998</c:v>
                </c:pt>
                <c:pt idx="57">
                  <c:v>46.000439244999995</c:v>
                </c:pt>
                <c:pt idx="58">
                  <c:v>46.000077369999993</c:v>
                </c:pt>
                <c:pt idx="59">
                  <c:v>45.999715494999997</c:v>
                </c:pt>
                <c:pt idx="60">
                  <c:v>45.999353619999994</c:v>
                </c:pt>
                <c:pt idx="61">
                  <c:v>45.998991744999998</c:v>
                </c:pt>
                <c:pt idx="62">
                  <c:v>45.998629869999995</c:v>
                </c:pt>
                <c:pt idx="63">
                  <c:v>45.998267994999999</c:v>
                </c:pt>
                <c:pt idx="64">
                  <c:v>45.997906119999996</c:v>
                </c:pt>
                <c:pt idx="65">
                  <c:v>46.002504484999996</c:v>
                </c:pt>
                <c:pt idx="66">
                  <c:v>46.002142609999993</c:v>
                </c:pt>
                <c:pt idx="67">
                  <c:v>46.001780734999997</c:v>
                </c:pt>
                <c:pt idx="68">
                  <c:v>46.001418859999994</c:v>
                </c:pt>
                <c:pt idx="69">
                  <c:v>46.001056984999998</c:v>
                </c:pt>
                <c:pt idx="70">
                  <c:v>46.000695109999995</c:v>
                </c:pt>
                <c:pt idx="71">
                  <c:v>46.000333234999992</c:v>
                </c:pt>
                <c:pt idx="72">
                  <c:v>45.999971359999996</c:v>
                </c:pt>
                <c:pt idx="73">
                  <c:v>45.999609484999993</c:v>
                </c:pt>
                <c:pt idx="74">
                  <c:v>45.999247609999998</c:v>
                </c:pt>
                <c:pt idx="75">
                  <c:v>45.998885734999995</c:v>
                </c:pt>
                <c:pt idx="76">
                  <c:v>45.998523859999999</c:v>
                </c:pt>
                <c:pt idx="77">
                  <c:v>45.998161984999996</c:v>
                </c:pt>
                <c:pt idx="78">
                  <c:v>46.002760349999996</c:v>
                </c:pt>
                <c:pt idx="79">
                  <c:v>46.002398474999993</c:v>
                </c:pt>
                <c:pt idx="80">
                  <c:v>46.002036599999997</c:v>
                </c:pt>
                <c:pt idx="81">
                  <c:v>46.001674724999994</c:v>
                </c:pt>
                <c:pt idx="82">
                  <c:v>46.001312849999998</c:v>
                </c:pt>
                <c:pt idx="83">
                  <c:v>46.000950974999995</c:v>
                </c:pt>
                <c:pt idx="84">
                  <c:v>46.000589099999992</c:v>
                </c:pt>
                <c:pt idx="85">
                  <c:v>46.000227224999996</c:v>
                </c:pt>
                <c:pt idx="86">
                  <c:v>45.999865349999993</c:v>
                </c:pt>
                <c:pt idx="87">
                  <c:v>45.999503474999997</c:v>
                </c:pt>
                <c:pt idx="88">
                  <c:v>45.999141599999994</c:v>
                </c:pt>
                <c:pt idx="89">
                  <c:v>45.998779724999999</c:v>
                </c:pt>
                <c:pt idx="90">
                  <c:v>45.998417849999996</c:v>
                </c:pt>
                <c:pt idx="91">
                  <c:v>46.003016214999995</c:v>
                </c:pt>
                <c:pt idx="92">
                  <c:v>46.002654339999992</c:v>
                </c:pt>
                <c:pt idx="93">
                  <c:v>46.002292464999996</c:v>
                </c:pt>
                <c:pt idx="94">
                  <c:v>46.001930589999994</c:v>
                </c:pt>
                <c:pt idx="95">
                  <c:v>46.001568714999998</c:v>
                </c:pt>
                <c:pt idx="96">
                  <c:v>46.001206839999995</c:v>
                </c:pt>
                <c:pt idx="97">
                  <c:v>46.000844964999992</c:v>
                </c:pt>
                <c:pt idx="98">
                  <c:v>46.000483089999996</c:v>
                </c:pt>
                <c:pt idx="99">
                  <c:v>46.000121214999993</c:v>
                </c:pt>
                <c:pt idx="100">
                  <c:v>45.999759339999997</c:v>
                </c:pt>
                <c:pt idx="101">
                  <c:v>45.999397464999994</c:v>
                </c:pt>
                <c:pt idx="102">
                  <c:v>45.999035589999998</c:v>
                </c:pt>
                <c:pt idx="103">
                  <c:v>45.998673714999995</c:v>
                </c:pt>
                <c:pt idx="104">
                  <c:v>46.003272079999995</c:v>
                </c:pt>
                <c:pt idx="105">
                  <c:v>46.002910204999992</c:v>
                </c:pt>
                <c:pt idx="106">
                  <c:v>46.002548329999996</c:v>
                </c:pt>
                <c:pt idx="107">
                  <c:v>46.002186454999993</c:v>
                </c:pt>
                <c:pt idx="108">
                  <c:v>46.001824579999997</c:v>
                </c:pt>
                <c:pt idx="109">
                  <c:v>46.001462704999994</c:v>
                </c:pt>
                <c:pt idx="110">
                  <c:v>46.001100829999992</c:v>
                </c:pt>
                <c:pt idx="111">
                  <c:v>46.000738954999996</c:v>
                </c:pt>
                <c:pt idx="112">
                  <c:v>46.000377079999993</c:v>
                </c:pt>
                <c:pt idx="113">
                  <c:v>46.000015204999997</c:v>
                </c:pt>
                <c:pt idx="114">
                  <c:v>45.999653329999994</c:v>
                </c:pt>
                <c:pt idx="115">
                  <c:v>45.999291454999998</c:v>
                </c:pt>
                <c:pt idx="116">
                  <c:v>45.998929579999995</c:v>
                </c:pt>
                <c:pt idx="117">
                  <c:v>46.003527944999995</c:v>
                </c:pt>
                <c:pt idx="118">
                  <c:v>46.003166069999992</c:v>
                </c:pt>
                <c:pt idx="119">
                  <c:v>46.002804194999996</c:v>
                </c:pt>
                <c:pt idx="120">
                  <c:v>46.002442319999993</c:v>
                </c:pt>
                <c:pt idx="121">
                  <c:v>46.002080444999997</c:v>
                </c:pt>
                <c:pt idx="122">
                  <c:v>46.001718569999994</c:v>
                </c:pt>
                <c:pt idx="123">
                  <c:v>46.001356694999991</c:v>
                </c:pt>
                <c:pt idx="124">
                  <c:v>46.000994819999995</c:v>
                </c:pt>
                <c:pt idx="125">
                  <c:v>46.000632944999992</c:v>
                </c:pt>
                <c:pt idx="126">
                  <c:v>46.000271069999997</c:v>
                </c:pt>
                <c:pt idx="127">
                  <c:v>45.999909194999994</c:v>
                </c:pt>
                <c:pt idx="128">
                  <c:v>45.999547319999998</c:v>
                </c:pt>
                <c:pt idx="129">
                  <c:v>45.999185444999995</c:v>
                </c:pt>
                <c:pt idx="130">
                  <c:v>46.003783809999995</c:v>
                </c:pt>
                <c:pt idx="131">
                  <c:v>46.003421934999992</c:v>
                </c:pt>
                <c:pt idx="132">
                  <c:v>46.003060059999996</c:v>
                </c:pt>
                <c:pt idx="133">
                  <c:v>46.002698184999993</c:v>
                </c:pt>
                <c:pt idx="134">
                  <c:v>46.002336309999997</c:v>
                </c:pt>
                <c:pt idx="135">
                  <c:v>46.001974434999994</c:v>
                </c:pt>
                <c:pt idx="136">
                  <c:v>46.001612559999991</c:v>
                </c:pt>
                <c:pt idx="137">
                  <c:v>46.001250684999995</c:v>
                </c:pt>
                <c:pt idx="138">
                  <c:v>46.000888809999992</c:v>
                </c:pt>
                <c:pt idx="139">
                  <c:v>46.000526934999996</c:v>
                </c:pt>
                <c:pt idx="140">
                  <c:v>46.000165059999993</c:v>
                </c:pt>
                <c:pt idx="141">
                  <c:v>45.999803184999998</c:v>
                </c:pt>
                <c:pt idx="142">
                  <c:v>45.999441309999995</c:v>
                </c:pt>
                <c:pt idx="143">
                  <c:v>46.004039674999994</c:v>
                </c:pt>
                <c:pt idx="144">
                  <c:v>46.003677799999991</c:v>
                </c:pt>
                <c:pt idx="145">
                  <c:v>46.003315924999995</c:v>
                </c:pt>
                <c:pt idx="146">
                  <c:v>46.002954049999992</c:v>
                </c:pt>
                <c:pt idx="147">
                  <c:v>46.002592174999997</c:v>
                </c:pt>
                <c:pt idx="148">
                  <c:v>46.002230299999994</c:v>
                </c:pt>
                <c:pt idx="149">
                  <c:v>46.001868424999991</c:v>
                </c:pt>
                <c:pt idx="150">
                  <c:v>46.001506549999995</c:v>
                </c:pt>
                <c:pt idx="151">
                  <c:v>46.001144674999992</c:v>
                </c:pt>
                <c:pt idx="152">
                  <c:v>46.000782799999996</c:v>
                </c:pt>
                <c:pt idx="153">
                  <c:v>46.000420924999993</c:v>
                </c:pt>
                <c:pt idx="154">
                  <c:v>46.000059049999997</c:v>
                </c:pt>
                <c:pt idx="155">
                  <c:v>45.999697174999994</c:v>
                </c:pt>
                <c:pt idx="156">
                  <c:v>46.004295539999994</c:v>
                </c:pt>
                <c:pt idx="157">
                  <c:v>46.003933664999991</c:v>
                </c:pt>
                <c:pt idx="158">
                  <c:v>46.003571789999995</c:v>
                </c:pt>
                <c:pt idx="159">
                  <c:v>46.003209914999992</c:v>
                </c:pt>
                <c:pt idx="160">
                  <c:v>46.002848039999996</c:v>
                </c:pt>
                <c:pt idx="161">
                  <c:v>46.002486164999993</c:v>
                </c:pt>
                <c:pt idx="162">
                  <c:v>46.00212428999999</c:v>
                </c:pt>
                <c:pt idx="163">
                  <c:v>46.001762414999995</c:v>
                </c:pt>
                <c:pt idx="164">
                  <c:v>46.001400539999992</c:v>
                </c:pt>
                <c:pt idx="165">
                  <c:v>46.001038664999996</c:v>
                </c:pt>
                <c:pt idx="166">
                  <c:v>46.000676789999993</c:v>
                </c:pt>
                <c:pt idx="167">
                  <c:v>46.000314914999997</c:v>
                </c:pt>
                <c:pt idx="168">
                  <c:v>45.999953039999994</c:v>
                </c:pt>
                <c:pt idx="169">
                  <c:v>46.004551404999994</c:v>
                </c:pt>
                <c:pt idx="170">
                  <c:v>46.004189529999991</c:v>
                </c:pt>
                <c:pt idx="171">
                  <c:v>46.003827654999995</c:v>
                </c:pt>
                <c:pt idx="172">
                  <c:v>46.003465779999992</c:v>
                </c:pt>
                <c:pt idx="173">
                  <c:v>46.003103904999996</c:v>
                </c:pt>
                <c:pt idx="174">
                  <c:v>46.002742029999993</c:v>
                </c:pt>
                <c:pt idx="175">
                  <c:v>46.00238015499999</c:v>
                </c:pt>
                <c:pt idx="176">
                  <c:v>46.002018279999994</c:v>
                </c:pt>
                <c:pt idx="177">
                  <c:v>46.001656404999991</c:v>
                </c:pt>
                <c:pt idx="178">
                  <c:v>46.001294529999996</c:v>
                </c:pt>
                <c:pt idx="179">
                  <c:v>46.000932654999993</c:v>
                </c:pt>
                <c:pt idx="180">
                  <c:v>46.000570779999997</c:v>
                </c:pt>
                <c:pt idx="181">
                  <c:v>46.000208904999994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97-4087-A007-7B8249CF3C77}"/>
            </c:ext>
          </c:extLst>
        </c:ser>
        <c:ser>
          <c:idx val="1"/>
          <c:order val="1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1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xVal>
            <c:numRef>
              <c:f>Lat_long!$L$2:$L$6</c:f>
              <c:numCache>
                <c:formatCode>General</c:formatCode>
                <c:ptCount val="5"/>
                <c:pt idx="0">
                  <c:v>-123.07626974999999</c:v>
                </c:pt>
                <c:pt idx="1">
                  <c:v>-123.07934012999999</c:v>
                </c:pt>
                <c:pt idx="2">
                  <c:v>-123.08404450499999</c:v>
                </c:pt>
                <c:pt idx="3">
                  <c:v>-123.080974125</c:v>
                </c:pt>
                <c:pt idx="4">
                  <c:v>-123.08116782499999</c:v>
                </c:pt>
              </c:numCache>
            </c:numRef>
          </c:xVal>
          <c:yVal>
            <c:numRef>
              <c:f>Lat_long!$K$2:$K$6</c:f>
              <c:numCache>
                <c:formatCode>General</c:formatCode>
                <c:ptCount val="5"/>
                <c:pt idx="0">
                  <c:v>46.001225159999997</c:v>
                </c:pt>
                <c:pt idx="1">
                  <c:v>45.996882659999997</c:v>
                </c:pt>
                <c:pt idx="2">
                  <c:v>46.000208904999994</c:v>
                </c:pt>
                <c:pt idx="3">
                  <c:v>46.004551435000003</c:v>
                </c:pt>
                <c:pt idx="4">
                  <c:v>46.001974434999994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97-4087-A007-7B8249CF3C77}"/>
            </c:ext>
          </c:extLst>
        </c:ser>
        <c:ser>
          <c:idx val="2"/>
          <c:order val="2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Lat_long!$L$189:$L$190</c:f>
              <c:numCache>
                <c:formatCode>General</c:formatCode>
                <c:ptCount val="2"/>
                <c:pt idx="0">
                  <c:v>-123.0798885</c:v>
                </c:pt>
                <c:pt idx="1">
                  <c:v>-123.08295887999999</c:v>
                </c:pt>
              </c:numCache>
            </c:numRef>
          </c:xVal>
          <c:yVal>
            <c:numRef>
              <c:f>Lat_long!$K$189:$K$190</c:f>
              <c:numCache>
                <c:formatCode>General</c:formatCode>
                <c:ptCount val="2"/>
                <c:pt idx="0">
                  <c:v>46.003783809999995</c:v>
                </c:pt>
                <c:pt idx="1">
                  <c:v>45.999441309999995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397-4087-A007-7B8249CF3C77}"/>
            </c:ext>
          </c:extLst>
        </c:ser>
        <c:ser>
          <c:idx val="3"/>
          <c:order val="3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Lat_long!$L$191:$L$192</c:f>
              <c:numCache>
                <c:formatCode>General</c:formatCode>
                <c:ptCount val="2"/>
                <c:pt idx="0">
                  <c:v>-123.07754907499999</c:v>
                </c:pt>
                <c:pt idx="1">
                  <c:v>-123.08225345</c:v>
                </c:pt>
              </c:numCache>
            </c:numRef>
          </c:xVal>
          <c:yVal>
            <c:numRef>
              <c:f>Lat_long!$K$191:$K$192</c:f>
              <c:numCache>
                <c:formatCode>General</c:formatCode>
                <c:ptCount val="2"/>
                <c:pt idx="0">
                  <c:v>45.999415784999997</c:v>
                </c:pt>
                <c:pt idx="1">
                  <c:v>46.002742029999993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397-4087-A007-7B8249CF3C77}"/>
            </c:ext>
          </c:extLst>
        </c:ser>
        <c:ser>
          <c:idx val="4"/>
          <c:order val="4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6B5E9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Lat_long!$L$193:$L$317</c:f>
              <c:numCache>
                <c:formatCode>General</c:formatCode>
                <c:ptCount val="125"/>
                <c:pt idx="0">
                  <c:v>-123.0771</c:v>
                </c:pt>
                <c:pt idx="1">
                  <c:v>-123.07693999999999</c:v>
                </c:pt>
                <c:pt idx="2">
                  <c:v>-123.07713</c:v>
                </c:pt>
                <c:pt idx="3">
                  <c:v>-123.07729</c:v>
                </c:pt>
                <c:pt idx="4">
                  <c:v>-123.07764</c:v>
                </c:pt>
                <c:pt idx="5">
                  <c:v>-123.08271000000001</c:v>
                </c:pt>
                <c:pt idx="6">
                  <c:v>-123.08257</c:v>
                </c:pt>
                <c:pt idx="7">
                  <c:v>-123.08273</c:v>
                </c:pt>
                <c:pt idx="8">
                  <c:v>-123.08311999999999</c:v>
                </c:pt>
                <c:pt idx="9">
                  <c:v>-123.08322</c:v>
                </c:pt>
                <c:pt idx="10">
                  <c:v>-123.08082</c:v>
                </c:pt>
                <c:pt idx="11">
                  <c:v>-123.08102</c:v>
                </c:pt>
                <c:pt idx="12">
                  <c:v>-123.08135</c:v>
                </c:pt>
                <c:pt idx="13">
                  <c:v>-123.08154</c:v>
                </c:pt>
                <c:pt idx="14">
                  <c:v>-123.08095</c:v>
                </c:pt>
                <c:pt idx="15">
                  <c:v>-123.08234</c:v>
                </c:pt>
                <c:pt idx="16">
                  <c:v>-123.08253999999999</c:v>
                </c:pt>
                <c:pt idx="17">
                  <c:v>-123.08275999999999</c:v>
                </c:pt>
                <c:pt idx="18">
                  <c:v>-123.08291</c:v>
                </c:pt>
                <c:pt idx="19">
                  <c:v>-123.08262000000001</c:v>
                </c:pt>
                <c:pt idx="20">
                  <c:v>-123.08076</c:v>
                </c:pt>
                <c:pt idx="21">
                  <c:v>-123.08047000000001</c:v>
                </c:pt>
                <c:pt idx="22">
                  <c:v>-123.08087</c:v>
                </c:pt>
                <c:pt idx="23">
                  <c:v>-123.08071</c:v>
                </c:pt>
                <c:pt idx="24">
                  <c:v>-123.08067</c:v>
                </c:pt>
                <c:pt idx="25">
                  <c:v>-123.07823999999999</c:v>
                </c:pt>
                <c:pt idx="26">
                  <c:v>-123.07814</c:v>
                </c:pt>
                <c:pt idx="27">
                  <c:v>-123.07826</c:v>
                </c:pt>
                <c:pt idx="28">
                  <c:v>-123.07832000000001</c:v>
                </c:pt>
                <c:pt idx="29">
                  <c:v>-123.07854</c:v>
                </c:pt>
                <c:pt idx="30">
                  <c:v>-123.08132000000001</c:v>
                </c:pt>
                <c:pt idx="31">
                  <c:v>-123.08107</c:v>
                </c:pt>
                <c:pt idx="32">
                  <c:v>-123.08145</c:v>
                </c:pt>
                <c:pt idx="33">
                  <c:v>-123.0818</c:v>
                </c:pt>
                <c:pt idx="34">
                  <c:v>-123.08188</c:v>
                </c:pt>
                <c:pt idx="35">
                  <c:v>-123.08206</c:v>
                </c:pt>
                <c:pt idx="36">
                  <c:v>-123.08224</c:v>
                </c:pt>
                <c:pt idx="37">
                  <c:v>-123.08177999999999</c:v>
                </c:pt>
                <c:pt idx="38">
                  <c:v>-123.08190999999999</c:v>
                </c:pt>
                <c:pt idx="39">
                  <c:v>-123.08237</c:v>
                </c:pt>
                <c:pt idx="40">
                  <c:v>-123.07917</c:v>
                </c:pt>
                <c:pt idx="41">
                  <c:v>-123.07925</c:v>
                </c:pt>
                <c:pt idx="42">
                  <c:v>-123.07955</c:v>
                </c:pt>
                <c:pt idx="43">
                  <c:v>-123.07969</c:v>
                </c:pt>
                <c:pt idx="44">
                  <c:v>-123.0796</c:v>
                </c:pt>
                <c:pt idx="45">
                  <c:v>-123.08098</c:v>
                </c:pt>
                <c:pt idx="46">
                  <c:v>-123.08089</c:v>
                </c:pt>
                <c:pt idx="47">
                  <c:v>-123.08074000000001</c:v>
                </c:pt>
                <c:pt idx="48">
                  <c:v>-123.0809</c:v>
                </c:pt>
                <c:pt idx="49">
                  <c:v>-123.08107</c:v>
                </c:pt>
                <c:pt idx="50">
                  <c:v>-123.07723</c:v>
                </c:pt>
                <c:pt idx="51">
                  <c:v>-123.07737</c:v>
                </c:pt>
                <c:pt idx="52">
                  <c:v>-123.07818</c:v>
                </c:pt>
                <c:pt idx="53">
                  <c:v>-123.07792999999999</c:v>
                </c:pt>
                <c:pt idx="54">
                  <c:v>-123.07805</c:v>
                </c:pt>
                <c:pt idx="55">
                  <c:v>-123.08172999999999</c:v>
                </c:pt>
                <c:pt idx="56">
                  <c:v>-123.08189</c:v>
                </c:pt>
                <c:pt idx="57">
                  <c:v>-123.08189</c:v>
                </c:pt>
                <c:pt idx="58">
                  <c:v>-123.08224</c:v>
                </c:pt>
                <c:pt idx="59">
                  <c:v>-123.08195000000001</c:v>
                </c:pt>
                <c:pt idx="60">
                  <c:v>-123.08217</c:v>
                </c:pt>
                <c:pt idx="61">
                  <c:v>-123.08239</c:v>
                </c:pt>
                <c:pt idx="62">
                  <c:v>-123.08226999999999</c:v>
                </c:pt>
                <c:pt idx="63">
                  <c:v>-123.08188</c:v>
                </c:pt>
                <c:pt idx="64">
                  <c:v>-123.08199</c:v>
                </c:pt>
                <c:pt idx="65">
                  <c:v>-123.08063</c:v>
                </c:pt>
                <c:pt idx="66">
                  <c:v>-123.08069999999999</c:v>
                </c:pt>
                <c:pt idx="67">
                  <c:v>-123.0806</c:v>
                </c:pt>
                <c:pt idx="68">
                  <c:v>-123.08099</c:v>
                </c:pt>
                <c:pt idx="69">
                  <c:v>-123.08069999999999</c:v>
                </c:pt>
                <c:pt idx="70">
                  <c:v>-123.08131</c:v>
                </c:pt>
                <c:pt idx="71">
                  <c:v>-123.08111</c:v>
                </c:pt>
                <c:pt idx="72">
                  <c:v>-123.08123999999999</c:v>
                </c:pt>
                <c:pt idx="73">
                  <c:v>-123.08146000000001</c:v>
                </c:pt>
                <c:pt idx="74">
                  <c:v>-123.08132000000001</c:v>
                </c:pt>
                <c:pt idx="75">
                  <c:v>-123.07722</c:v>
                </c:pt>
                <c:pt idx="76">
                  <c:v>-123.07745</c:v>
                </c:pt>
                <c:pt idx="77">
                  <c:v>-123.0774</c:v>
                </c:pt>
                <c:pt idx="78">
                  <c:v>-123.07769999999999</c:v>
                </c:pt>
                <c:pt idx="79">
                  <c:v>-123.07792999999999</c:v>
                </c:pt>
                <c:pt idx="80">
                  <c:v>-123.08033</c:v>
                </c:pt>
                <c:pt idx="81">
                  <c:v>-123.08011999999999</c:v>
                </c:pt>
                <c:pt idx="82">
                  <c:v>-123.08054</c:v>
                </c:pt>
                <c:pt idx="83">
                  <c:v>-123.08038000000001</c:v>
                </c:pt>
                <c:pt idx="84">
                  <c:v>-123.08020999999999</c:v>
                </c:pt>
                <c:pt idx="85">
                  <c:v>-123.08165</c:v>
                </c:pt>
                <c:pt idx="86">
                  <c:v>-123.08153</c:v>
                </c:pt>
                <c:pt idx="87">
                  <c:v>-123.0814</c:v>
                </c:pt>
                <c:pt idx="88">
                  <c:v>-123.08177000000001</c:v>
                </c:pt>
                <c:pt idx="89">
                  <c:v>-123.08165</c:v>
                </c:pt>
                <c:pt idx="90">
                  <c:v>-123.08094</c:v>
                </c:pt>
                <c:pt idx="91">
                  <c:v>-123.08143</c:v>
                </c:pt>
                <c:pt idx="92">
                  <c:v>-123.0813</c:v>
                </c:pt>
                <c:pt idx="93">
                  <c:v>-123.08134</c:v>
                </c:pt>
                <c:pt idx="94">
                  <c:v>-123.08161</c:v>
                </c:pt>
                <c:pt idx="95">
                  <c:v>-123.08261</c:v>
                </c:pt>
                <c:pt idx="96">
                  <c:v>-123.08244999999999</c:v>
                </c:pt>
                <c:pt idx="97">
                  <c:v>-123.08268</c:v>
                </c:pt>
                <c:pt idx="98">
                  <c:v>-123.08289000000001</c:v>
                </c:pt>
                <c:pt idx="99">
                  <c:v>-123.08271999999999</c:v>
                </c:pt>
                <c:pt idx="100">
                  <c:v>-123.07787</c:v>
                </c:pt>
                <c:pt idx="101">
                  <c:v>-123.07803</c:v>
                </c:pt>
                <c:pt idx="102">
                  <c:v>-123.07819000000001</c:v>
                </c:pt>
                <c:pt idx="103">
                  <c:v>-123.07863</c:v>
                </c:pt>
                <c:pt idx="104">
                  <c:v>-123.07884</c:v>
                </c:pt>
                <c:pt idx="105">
                  <c:v>-123.08112</c:v>
                </c:pt>
                <c:pt idx="106">
                  <c:v>-123.08128000000001</c:v>
                </c:pt>
                <c:pt idx="107">
                  <c:v>-123.08145</c:v>
                </c:pt>
                <c:pt idx="108">
                  <c:v>-123.08156</c:v>
                </c:pt>
                <c:pt idx="109">
                  <c:v>-123.08167</c:v>
                </c:pt>
                <c:pt idx="110">
                  <c:v>-123.07962999999999</c:v>
                </c:pt>
                <c:pt idx="111">
                  <c:v>-123.07937</c:v>
                </c:pt>
                <c:pt idx="112">
                  <c:v>-123.07911</c:v>
                </c:pt>
                <c:pt idx="113">
                  <c:v>-123.0801</c:v>
                </c:pt>
                <c:pt idx="114">
                  <c:v>-123.08042</c:v>
                </c:pt>
                <c:pt idx="115">
                  <c:v>-123.08183</c:v>
                </c:pt>
                <c:pt idx="116">
                  <c:v>-123.08158</c:v>
                </c:pt>
                <c:pt idx="117">
                  <c:v>-123.08172999999999</c:v>
                </c:pt>
                <c:pt idx="118">
                  <c:v>-123.08192</c:v>
                </c:pt>
                <c:pt idx="119">
                  <c:v>-123.08208</c:v>
                </c:pt>
                <c:pt idx="120">
                  <c:v>-123.08114</c:v>
                </c:pt>
                <c:pt idx="121">
                  <c:v>-123.08138</c:v>
                </c:pt>
                <c:pt idx="122">
                  <c:v>-123.08145</c:v>
                </c:pt>
                <c:pt idx="123">
                  <c:v>-123.0817</c:v>
                </c:pt>
                <c:pt idx="124">
                  <c:v>-123.08187</c:v>
                </c:pt>
              </c:numCache>
            </c:numRef>
          </c:xVal>
          <c:yVal>
            <c:numRef>
              <c:f>Lat_long!$K$193:$K$317</c:f>
              <c:numCache>
                <c:formatCode>General</c:formatCode>
                <c:ptCount val="125"/>
                <c:pt idx="0">
                  <c:v>46.001249999999999</c:v>
                </c:pt>
                <c:pt idx="1">
                  <c:v>46.001269999999998</c:v>
                </c:pt>
                <c:pt idx="2">
                  <c:v>46.001489999999997</c:v>
                </c:pt>
                <c:pt idx="3">
                  <c:v>46.00132</c:v>
                </c:pt>
                <c:pt idx="4">
                  <c:v>46.001559999999998</c:v>
                </c:pt>
                <c:pt idx="5">
                  <c:v>46.001860000000001</c:v>
                </c:pt>
                <c:pt idx="6">
                  <c:v>46.001950000000001</c:v>
                </c:pt>
                <c:pt idx="7">
                  <c:v>46.002139999999997</c:v>
                </c:pt>
                <c:pt idx="8">
                  <c:v>46.002319999999997</c:v>
                </c:pt>
                <c:pt idx="9">
                  <c:v>46.002429999999997</c:v>
                </c:pt>
                <c:pt idx="10">
                  <c:v>46.00271</c:v>
                </c:pt>
                <c:pt idx="11">
                  <c:v>46.002560000000003</c:v>
                </c:pt>
                <c:pt idx="12">
                  <c:v>46.002569999999999</c:v>
                </c:pt>
                <c:pt idx="13">
                  <c:v>46.002549999999999</c:v>
                </c:pt>
                <c:pt idx="14">
                  <c:v>46.002800000000001</c:v>
                </c:pt>
                <c:pt idx="15">
                  <c:v>46.002809999999997</c:v>
                </c:pt>
                <c:pt idx="16">
                  <c:v>46.002879999999998</c:v>
                </c:pt>
                <c:pt idx="17">
                  <c:v>46.003050000000002</c:v>
                </c:pt>
                <c:pt idx="18">
                  <c:v>46.003039999999999</c:v>
                </c:pt>
                <c:pt idx="19">
                  <c:v>46.003050000000002</c:v>
                </c:pt>
                <c:pt idx="20">
                  <c:v>46.001989999999999</c:v>
                </c:pt>
                <c:pt idx="21">
                  <c:v>46.002009999999999</c:v>
                </c:pt>
                <c:pt idx="22">
                  <c:v>46.002130000000001</c:v>
                </c:pt>
                <c:pt idx="23">
                  <c:v>46.002189999999999</c:v>
                </c:pt>
                <c:pt idx="24">
                  <c:v>46.002369999999999</c:v>
                </c:pt>
                <c:pt idx="25">
                  <c:v>46.001370000000001</c:v>
                </c:pt>
                <c:pt idx="26">
                  <c:v>46.001460000000002</c:v>
                </c:pt>
                <c:pt idx="27">
                  <c:v>46.001440000000002</c:v>
                </c:pt>
                <c:pt idx="28">
                  <c:v>46.001579999999997</c:v>
                </c:pt>
                <c:pt idx="29">
                  <c:v>46.001800000000003</c:v>
                </c:pt>
                <c:pt idx="30">
                  <c:v>45.999769999999998</c:v>
                </c:pt>
                <c:pt idx="31">
                  <c:v>45.999830000000003</c:v>
                </c:pt>
                <c:pt idx="32">
                  <c:v>45.999960000000002</c:v>
                </c:pt>
                <c:pt idx="33">
                  <c:v>46.000309999999999</c:v>
                </c:pt>
                <c:pt idx="34">
                  <c:v>46.000540000000001</c:v>
                </c:pt>
                <c:pt idx="35">
                  <c:v>46.001170000000002</c:v>
                </c:pt>
                <c:pt idx="36">
                  <c:v>46.001330000000003</c:v>
                </c:pt>
                <c:pt idx="37">
                  <c:v>46.001399999999997</c:v>
                </c:pt>
                <c:pt idx="38">
                  <c:v>46.001539999999999</c:v>
                </c:pt>
                <c:pt idx="39">
                  <c:v>46.001759999999997</c:v>
                </c:pt>
                <c:pt idx="40">
                  <c:v>46.00217</c:v>
                </c:pt>
                <c:pt idx="41">
                  <c:v>46.00206</c:v>
                </c:pt>
                <c:pt idx="42">
                  <c:v>46.001980000000003</c:v>
                </c:pt>
                <c:pt idx="43">
                  <c:v>46.002079999999999</c:v>
                </c:pt>
                <c:pt idx="44">
                  <c:v>46.002220000000001</c:v>
                </c:pt>
                <c:pt idx="45">
                  <c:v>46.003270000000001</c:v>
                </c:pt>
                <c:pt idx="46">
                  <c:v>46.003369999999997</c:v>
                </c:pt>
                <c:pt idx="47">
                  <c:v>46.003700000000002</c:v>
                </c:pt>
                <c:pt idx="48">
                  <c:v>46.003799999999998</c:v>
                </c:pt>
                <c:pt idx="49">
                  <c:v>46.003839999999997</c:v>
                </c:pt>
                <c:pt idx="50">
                  <c:v>46.00159</c:v>
                </c:pt>
                <c:pt idx="51">
                  <c:v>46.00179</c:v>
                </c:pt>
                <c:pt idx="52">
                  <c:v>46.001849999999997</c:v>
                </c:pt>
                <c:pt idx="53">
                  <c:v>46.001989999999999</c:v>
                </c:pt>
                <c:pt idx="54">
                  <c:v>46.00206</c:v>
                </c:pt>
                <c:pt idx="55">
                  <c:v>46.001829999999998</c:v>
                </c:pt>
                <c:pt idx="56">
                  <c:v>46.001840000000001</c:v>
                </c:pt>
                <c:pt idx="57">
                  <c:v>46.001759999999997</c:v>
                </c:pt>
                <c:pt idx="58">
                  <c:v>46.001910000000002</c:v>
                </c:pt>
                <c:pt idx="59">
                  <c:v>46.00206</c:v>
                </c:pt>
                <c:pt idx="60">
                  <c:v>46.00217</c:v>
                </c:pt>
                <c:pt idx="61">
                  <c:v>46.002220000000001</c:v>
                </c:pt>
                <c:pt idx="62">
                  <c:v>46.002279999999999</c:v>
                </c:pt>
                <c:pt idx="63">
                  <c:v>46.002310000000001</c:v>
                </c:pt>
                <c:pt idx="64">
                  <c:v>46.002479999999998</c:v>
                </c:pt>
                <c:pt idx="65">
                  <c:v>46.001370000000001</c:v>
                </c:pt>
                <c:pt idx="66">
                  <c:v>46.001489999999997</c:v>
                </c:pt>
                <c:pt idx="67">
                  <c:v>46.00159</c:v>
                </c:pt>
                <c:pt idx="68">
                  <c:v>46.001649999999998</c:v>
                </c:pt>
                <c:pt idx="69">
                  <c:v>46.001640000000002</c:v>
                </c:pt>
                <c:pt idx="70">
                  <c:v>46.003430000000002</c:v>
                </c:pt>
                <c:pt idx="71">
                  <c:v>46.003540000000001</c:v>
                </c:pt>
                <c:pt idx="72">
                  <c:v>46.003570000000003</c:v>
                </c:pt>
                <c:pt idx="73">
                  <c:v>46.00365</c:v>
                </c:pt>
                <c:pt idx="74">
                  <c:v>46.003680000000003</c:v>
                </c:pt>
                <c:pt idx="75">
                  <c:v>46.000889999999998</c:v>
                </c:pt>
                <c:pt idx="76">
                  <c:v>46.000950000000003</c:v>
                </c:pt>
                <c:pt idx="77">
                  <c:v>46.001060000000003</c:v>
                </c:pt>
                <c:pt idx="78">
                  <c:v>46.001089999999998</c:v>
                </c:pt>
                <c:pt idx="79">
                  <c:v>46.00121</c:v>
                </c:pt>
                <c:pt idx="80">
                  <c:v>46.002890000000001</c:v>
                </c:pt>
                <c:pt idx="81">
                  <c:v>46.003070000000001</c:v>
                </c:pt>
                <c:pt idx="82">
                  <c:v>46.003010000000003</c:v>
                </c:pt>
                <c:pt idx="83">
                  <c:v>46.003120000000003</c:v>
                </c:pt>
                <c:pt idx="84">
                  <c:v>46.003279999999997</c:v>
                </c:pt>
                <c:pt idx="85">
                  <c:v>46.000720000000001</c:v>
                </c:pt>
                <c:pt idx="86">
                  <c:v>46.000999999999998</c:v>
                </c:pt>
                <c:pt idx="87">
                  <c:v>46.00112</c:v>
                </c:pt>
                <c:pt idx="88">
                  <c:v>46.000990000000002</c:v>
                </c:pt>
                <c:pt idx="89">
                  <c:v>46.001109999999997</c:v>
                </c:pt>
                <c:pt idx="90">
                  <c:v>46.00132</c:v>
                </c:pt>
                <c:pt idx="91">
                  <c:v>46.001469999999998</c:v>
                </c:pt>
                <c:pt idx="92">
                  <c:v>46.001530000000002</c:v>
                </c:pt>
                <c:pt idx="93">
                  <c:v>46.001620000000003</c:v>
                </c:pt>
                <c:pt idx="94">
                  <c:v>46.00159</c:v>
                </c:pt>
                <c:pt idx="95">
                  <c:v>46.002330000000001</c:v>
                </c:pt>
                <c:pt idx="96">
                  <c:v>46.00244</c:v>
                </c:pt>
                <c:pt idx="97">
                  <c:v>46.002470000000002</c:v>
                </c:pt>
                <c:pt idx="98">
                  <c:v>46.002499999999998</c:v>
                </c:pt>
                <c:pt idx="99">
                  <c:v>46.002600000000001</c:v>
                </c:pt>
                <c:pt idx="100">
                  <c:v>46.000799999999998</c:v>
                </c:pt>
                <c:pt idx="101">
                  <c:v>46.000909999999998</c:v>
                </c:pt>
                <c:pt idx="102">
                  <c:v>46.000999999999998</c:v>
                </c:pt>
                <c:pt idx="103">
                  <c:v>46.001370000000001</c:v>
                </c:pt>
                <c:pt idx="104">
                  <c:v>46.001220000000004</c:v>
                </c:pt>
                <c:pt idx="105">
                  <c:v>46.001939999999998</c:v>
                </c:pt>
                <c:pt idx="106">
                  <c:v>46.001919999999998</c:v>
                </c:pt>
                <c:pt idx="107">
                  <c:v>46.002000000000002</c:v>
                </c:pt>
                <c:pt idx="108">
                  <c:v>46.001989999999999</c:v>
                </c:pt>
                <c:pt idx="109">
                  <c:v>46.002090000000003</c:v>
                </c:pt>
                <c:pt idx="110">
                  <c:v>46.001330000000003</c:v>
                </c:pt>
                <c:pt idx="111">
                  <c:v>46.001609999999999</c:v>
                </c:pt>
                <c:pt idx="112">
                  <c:v>46.00179</c:v>
                </c:pt>
                <c:pt idx="113">
                  <c:v>46.001939999999998</c:v>
                </c:pt>
                <c:pt idx="114">
                  <c:v>46.001809999999999</c:v>
                </c:pt>
                <c:pt idx="115">
                  <c:v>46.00271</c:v>
                </c:pt>
                <c:pt idx="116">
                  <c:v>46.002839999999999</c:v>
                </c:pt>
                <c:pt idx="117">
                  <c:v>46.002929999999999</c:v>
                </c:pt>
                <c:pt idx="118">
                  <c:v>46.003039999999999</c:v>
                </c:pt>
                <c:pt idx="119">
                  <c:v>46.00311</c:v>
                </c:pt>
                <c:pt idx="120">
                  <c:v>46.003010000000003</c:v>
                </c:pt>
                <c:pt idx="121">
                  <c:v>46.003019999999999</c:v>
                </c:pt>
                <c:pt idx="122">
                  <c:v>46.003219999999999</c:v>
                </c:pt>
                <c:pt idx="123">
                  <c:v>46.003369999999997</c:v>
                </c:pt>
                <c:pt idx="124">
                  <c:v>46.003369999999997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397-4087-A007-7B8249CF3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51009"/>
        <c:axId val="97924449"/>
      </c:scatterChart>
      <c:valAx>
        <c:axId val="74951009"/>
        <c:scaling>
          <c:orientation val="minMax"/>
          <c:max val="-123.075"/>
          <c:min val="-123.08499999999999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924449"/>
        <c:crosses val="autoZero"/>
        <c:crossBetween val="between"/>
      </c:valAx>
      <c:valAx>
        <c:axId val="97924449"/>
        <c:scaling>
          <c:orientation val="minMax"/>
          <c:max val="46.005000000000003"/>
          <c:min val="45.996499999999997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74951009"/>
        <c:crosses val="autoZero"/>
        <c:crossBetween val="between"/>
        <c:majorUnit val="1E-3"/>
      </c:valAx>
      <c:spPr>
        <a:noFill/>
        <a:ln w="0">
          <a:solidFill>
            <a:srgbClr val="B3B3B3"/>
          </a:solidFill>
        </a:ln>
      </c:spPr>
    </c:plotArea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56</xdr:col>
      <xdr:colOff>323640</xdr:colOff>
      <xdr:row>19</xdr:row>
      <xdr:rowOff>141120</xdr:rowOff>
    </xdr:from>
    <xdr:to>
      <xdr:col>57</xdr:col>
      <xdr:colOff>292680</xdr:colOff>
      <xdr:row>23</xdr:row>
      <xdr:rowOff>5400</xdr:rowOff>
    </xdr:to>
    <xdr:sp macro="" textlink="">
      <xdr:nvSpPr>
        <xdr:cNvPr id="2" name="Freeform: 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 rot="2700000">
          <a:off x="26996760" y="8237880"/>
          <a:ext cx="426240" cy="1693080"/>
        </a:xfrm>
        <a:custGeom>
          <a:avLst/>
          <a:gdLst/>
          <a:ahLst/>
          <a:cxn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205920</xdr:colOff>
      <xdr:row>1</xdr:row>
      <xdr:rowOff>207000</xdr:rowOff>
    </xdr:from>
    <xdr:to>
      <xdr:col>24</xdr:col>
      <xdr:colOff>302040</xdr:colOff>
      <xdr:row>31</xdr:row>
      <xdr:rowOff>15120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83"/>
  <sheetViews>
    <sheetView tabSelected="1" topLeftCell="A31" zoomScale="120" zoomScaleNormal="120" workbookViewId="0">
      <pane xSplit="1" topLeftCell="O1" activePane="topRight" state="frozen"/>
      <selection pane="topRight" activeCell="AO53" sqref="AO53"/>
    </sheetView>
  </sheetViews>
  <sheetFormatPr defaultColWidth="11.5703125" defaultRowHeight="12.75" x14ac:dyDescent="0.2"/>
  <cols>
    <col min="1" max="1" width="6.140625" style="1" customWidth="1"/>
    <col min="2" max="2" width="9.140625" customWidth="1"/>
    <col min="3" max="4" width="4.7109375" customWidth="1"/>
    <col min="5" max="5" width="6.7109375" customWidth="1"/>
    <col min="6" max="6" width="9.5703125" customWidth="1"/>
    <col min="7" max="10" width="5.140625" customWidth="1"/>
    <col min="11" max="11" width="9.140625" customWidth="1"/>
    <col min="12" max="13" width="4.7109375" customWidth="1"/>
    <col min="14" max="14" width="6.7109375" customWidth="1"/>
    <col min="15" max="15" width="9.5703125" customWidth="1"/>
    <col min="16" max="19" width="5.140625" customWidth="1"/>
    <col min="20" max="20" width="9.140625" customWidth="1"/>
    <col min="21" max="22" width="4.7109375" customWidth="1"/>
    <col min="23" max="23" width="6.7109375" customWidth="1"/>
    <col min="24" max="24" width="9.5703125" customWidth="1"/>
    <col min="25" max="28" width="5.140625" customWidth="1"/>
    <col min="29" max="29" width="9.140625" customWidth="1"/>
    <col min="30" max="31" width="4.7109375" customWidth="1"/>
    <col min="32" max="32" width="6.7109375" customWidth="1"/>
    <col min="33" max="33" width="9.5703125" customWidth="1"/>
    <col min="34" max="37" width="5.140625" customWidth="1"/>
    <col min="38" max="38" width="6" style="1" customWidth="1"/>
    <col min="39" max="39" width="9.85546875" customWidth="1"/>
    <col min="40" max="40" width="7" customWidth="1"/>
    <col min="41" max="41" width="11.5703125" style="1"/>
  </cols>
  <sheetData>
    <row r="1" spans="1:42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  <c r="R1" s="2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t="s">
        <v>38</v>
      </c>
      <c r="AN1" t="s">
        <v>39</v>
      </c>
      <c r="AO1" s="1" t="s">
        <v>40</v>
      </c>
      <c r="AP1" t="s">
        <v>41</v>
      </c>
    </row>
    <row r="2" spans="1:42" x14ac:dyDescent="0.2">
      <c r="A2" s="1" t="s">
        <v>42</v>
      </c>
      <c r="B2" t="s">
        <v>43</v>
      </c>
      <c r="C2">
        <v>34</v>
      </c>
      <c r="D2">
        <v>-8</v>
      </c>
      <c r="E2">
        <v>95</v>
      </c>
      <c r="F2">
        <v>91</v>
      </c>
      <c r="K2" t="s">
        <v>44</v>
      </c>
      <c r="L2">
        <v>32</v>
      </c>
      <c r="M2">
        <v>-8</v>
      </c>
      <c r="N2">
        <v>91</v>
      </c>
      <c r="O2">
        <v>1</v>
      </c>
      <c r="T2" t="s">
        <v>45</v>
      </c>
      <c r="U2">
        <v>32</v>
      </c>
      <c r="V2">
        <v>-6</v>
      </c>
      <c r="W2">
        <v>96.5</v>
      </c>
      <c r="X2">
        <v>269</v>
      </c>
      <c r="AB2">
        <v>27</v>
      </c>
      <c r="AC2" t="s">
        <v>46</v>
      </c>
      <c r="AD2">
        <v>34</v>
      </c>
      <c r="AE2">
        <v>-6</v>
      </c>
      <c r="AF2">
        <v>94</v>
      </c>
      <c r="AG2">
        <v>180</v>
      </c>
      <c r="AL2" s="1" t="s">
        <v>47</v>
      </c>
      <c r="AM2">
        <v>271</v>
      </c>
      <c r="AN2">
        <v>95</v>
      </c>
      <c r="AO2" s="1" t="s">
        <v>43</v>
      </c>
      <c r="AP2" t="s">
        <v>48</v>
      </c>
    </row>
    <row r="3" spans="1:42" x14ac:dyDescent="0.2">
      <c r="A3" s="1" t="s">
        <v>49</v>
      </c>
      <c r="B3" t="s">
        <v>44</v>
      </c>
      <c r="C3">
        <v>32</v>
      </c>
      <c r="D3">
        <v>-8</v>
      </c>
      <c r="E3">
        <v>92</v>
      </c>
      <c r="F3">
        <v>90</v>
      </c>
      <c r="J3">
        <v>24</v>
      </c>
      <c r="K3" t="s">
        <v>45</v>
      </c>
      <c r="L3">
        <v>32</v>
      </c>
      <c r="M3">
        <v>-6</v>
      </c>
      <c r="N3">
        <v>92</v>
      </c>
      <c r="O3">
        <v>184</v>
      </c>
      <c r="T3" t="s">
        <v>50</v>
      </c>
      <c r="U3">
        <v>30</v>
      </c>
      <c r="V3">
        <v>-6</v>
      </c>
      <c r="W3">
        <v>102</v>
      </c>
      <c r="X3">
        <v>270</v>
      </c>
      <c r="AB3">
        <v>24</v>
      </c>
      <c r="AC3" t="s">
        <v>51</v>
      </c>
      <c r="AD3">
        <v>30</v>
      </c>
      <c r="AE3">
        <v>-8</v>
      </c>
      <c r="AF3">
        <v>94</v>
      </c>
      <c r="AG3">
        <v>356</v>
      </c>
      <c r="AL3" s="1" t="s">
        <v>52</v>
      </c>
      <c r="AM3">
        <v>270</v>
      </c>
      <c r="AN3">
        <v>89</v>
      </c>
      <c r="AO3" s="1" t="s">
        <v>44</v>
      </c>
      <c r="AP3" t="s">
        <v>53</v>
      </c>
    </row>
    <row r="4" spans="1:42" x14ac:dyDescent="0.2">
      <c r="A4" s="1" t="s">
        <v>54</v>
      </c>
      <c r="B4" t="s">
        <v>51</v>
      </c>
      <c r="C4">
        <v>30</v>
      </c>
      <c r="D4">
        <v>-8</v>
      </c>
      <c r="E4">
        <v>85</v>
      </c>
      <c r="F4">
        <v>84</v>
      </c>
      <c r="J4">
        <v>25</v>
      </c>
      <c r="K4" t="s">
        <v>55</v>
      </c>
      <c r="L4">
        <v>28</v>
      </c>
      <c r="M4">
        <v>-8</v>
      </c>
      <c r="N4">
        <v>99</v>
      </c>
      <c r="O4">
        <v>351</v>
      </c>
      <c r="T4" t="s">
        <v>50</v>
      </c>
      <c r="U4">
        <v>30</v>
      </c>
      <c r="V4">
        <v>-6</v>
      </c>
      <c r="W4">
        <v>85</v>
      </c>
      <c r="X4">
        <v>187</v>
      </c>
      <c r="AL4" s="1" t="s">
        <v>56</v>
      </c>
      <c r="AM4">
        <v>99</v>
      </c>
      <c r="AN4">
        <v>171</v>
      </c>
      <c r="AO4" s="1" t="s">
        <v>55</v>
      </c>
      <c r="AP4" t="s">
        <v>57</v>
      </c>
    </row>
    <row r="5" spans="1:42" x14ac:dyDescent="0.2">
      <c r="A5" s="1" t="s">
        <v>58</v>
      </c>
      <c r="B5" t="s">
        <v>59</v>
      </c>
      <c r="C5">
        <v>26</v>
      </c>
      <c r="D5">
        <v>-6</v>
      </c>
      <c r="E5">
        <v>103</v>
      </c>
      <c r="G5" t="s">
        <v>60</v>
      </c>
      <c r="H5">
        <v>89</v>
      </c>
      <c r="I5" t="s">
        <v>61</v>
      </c>
      <c r="K5" t="s">
        <v>62</v>
      </c>
      <c r="L5">
        <v>28</v>
      </c>
      <c r="M5">
        <v>-6</v>
      </c>
      <c r="N5">
        <v>95</v>
      </c>
      <c r="P5" t="s">
        <v>60</v>
      </c>
      <c r="Q5">
        <v>5</v>
      </c>
      <c r="R5" t="s">
        <v>61</v>
      </c>
      <c r="T5" t="s">
        <v>55</v>
      </c>
      <c r="U5">
        <v>28</v>
      </c>
      <c r="V5">
        <v>-8</v>
      </c>
      <c r="W5">
        <v>86</v>
      </c>
      <c r="Y5" t="s">
        <v>63</v>
      </c>
      <c r="Z5">
        <v>89</v>
      </c>
      <c r="AA5" t="s">
        <v>64</v>
      </c>
      <c r="AC5" t="s">
        <v>65</v>
      </c>
      <c r="AD5">
        <v>26</v>
      </c>
      <c r="AE5">
        <v>-8</v>
      </c>
      <c r="AF5">
        <v>95</v>
      </c>
      <c r="AH5" t="s">
        <v>63</v>
      </c>
      <c r="AI5">
        <v>6</v>
      </c>
      <c r="AJ5" t="s">
        <v>61</v>
      </c>
      <c r="AK5">
        <v>20</v>
      </c>
      <c r="AL5" s="1" t="s">
        <v>66</v>
      </c>
      <c r="AP5" t="s">
        <v>67</v>
      </c>
    </row>
    <row r="6" spans="1:42" x14ac:dyDescent="0.2">
      <c r="A6" s="1" t="s">
        <v>68</v>
      </c>
      <c r="B6" t="s">
        <v>59</v>
      </c>
      <c r="C6">
        <v>26</v>
      </c>
      <c r="D6">
        <v>-6</v>
      </c>
      <c r="E6">
        <v>60</v>
      </c>
      <c r="F6">
        <v>333</v>
      </c>
      <c r="K6" t="s">
        <v>65</v>
      </c>
      <c r="L6">
        <v>26</v>
      </c>
      <c r="M6">
        <v>-8</v>
      </c>
      <c r="N6">
        <v>97</v>
      </c>
      <c r="O6">
        <v>68</v>
      </c>
      <c r="T6" t="s">
        <v>69</v>
      </c>
      <c r="U6">
        <v>24</v>
      </c>
      <c r="V6">
        <v>-7.5</v>
      </c>
      <c r="W6">
        <v>108</v>
      </c>
      <c r="X6">
        <v>346</v>
      </c>
      <c r="AC6" t="s">
        <v>70</v>
      </c>
      <c r="AD6">
        <v>24</v>
      </c>
      <c r="AE6">
        <v>-6</v>
      </c>
      <c r="AF6">
        <v>101</v>
      </c>
      <c r="AG6">
        <v>289</v>
      </c>
      <c r="AL6" s="1" t="s">
        <v>52</v>
      </c>
      <c r="AP6" t="s">
        <v>71</v>
      </c>
    </row>
    <row r="7" spans="1:42" x14ac:dyDescent="0.2">
      <c r="A7" s="1" t="s">
        <v>72</v>
      </c>
      <c r="B7" t="s">
        <v>73</v>
      </c>
      <c r="C7">
        <v>14</v>
      </c>
      <c r="D7">
        <v>7.65</v>
      </c>
      <c r="E7">
        <v>99</v>
      </c>
      <c r="F7">
        <v>109</v>
      </c>
      <c r="J7">
        <v>18</v>
      </c>
      <c r="K7" t="s">
        <v>74</v>
      </c>
      <c r="L7">
        <v>14</v>
      </c>
      <c r="M7">
        <v>-6</v>
      </c>
      <c r="N7">
        <v>108</v>
      </c>
      <c r="O7">
        <v>171</v>
      </c>
      <c r="T7" t="s">
        <v>75</v>
      </c>
      <c r="U7">
        <v>12</v>
      </c>
      <c r="V7">
        <v>-6</v>
      </c>
      <c r="W7">
        <v>75.5</v>
      </c>
      <c r="X7">
        <v>260</v>
      </c>
      <c r="AL7" s="1" t="s">
        <v>76</v>
      </c>
      <c r="AM7">
        <v>351</v>
      </c>
      <c r="AN7">
        <v>108</v>
      </c>
      <c r="AO7" s="1" t="s">
        <v>74</v>
      </c>
      <c r="AP7" t="s">
        <v>77</v>
      </c>
    </row>
    <row r="8" spans="1:42" x14ac:dyDescent="0.2">
      <c r="A8" s="1" t="s">
        <v>78</v>
      </c>
      <c r="B8" t="s">
        <v>75</v>
      </c>
      <c r="C8">
        <v>12</v>
      </c>
      <c r="D8">
        <v>-6</v>
      </c>
      <c r="E8">
        <v>92.5</v>
      </c>
      <c r="F8">
        <v>175</v>
      </c>
      <c r="K8" t="s">
        <v>79</v>
      </c>
      <c r="L8">
        <v>10</v>
      </c>
      <c r="M8">
        <v>-6</v>
      </c>
      <c r="N8">
        <v>84</v>
      </c>
      <c r="O8">
        <v>272</v>
      </c>
      <c r="AL8" s="1" t="s">
        <v>80</v>
      </c>
      <c r="AM8">
        <v>92</v>
      </c>
      <c r="AN8">
        <v>84</v>
      </c>
      <c r="AO8" s="1">
        <v>44840</v>
      </c>
      <c r="AP8" t="s">
        <v>81</v>
      </c>
    </row>
    <row r="9" spans="1:42" x14ac:dyDescent="0.2">
      <c r="A9" s="1" t="s">
        <v>82</v>
      </c>
      <c r="B9" t="s">
        <v>46</v>
      </c>
      <c r="C9">
        <v>34</v>
      </c>
      <c r="D9">
        <v>-6</v>
      </c>
      <c r="E9">
        <v>103</v>
      </c>
      <c r="F9">
        <v>92</v>
      </c>
      <c r="J9">
        <v>25</v>
      </c>
      <c r="K9" t="s">
        <v>45</v>
      </c>
      <c r="L9">
        <v>32</v>
      </c>
      <c r="M9">
        <v>-6</v>
      </c>
      <c r="N9">
        <v>90</v>
      </c>
      <c r="O9">
        <v>3</v>
      </c>
      <c r="T9" t="s">
        <v>83</v>
      </c>
      <c r="U9">
        <v>32</v>
      </c>
      <c r="V9">
        <v>-4</v>
      </c>
      <c r="W9">
        <v>87</v>
      </c>
      <c r="X9">
        <v>264</v>
      </c>
      <c r="AB9">
        <v>20</v>
      </c>
      <c r="AL9" s="1" t="s">
        <v>84</v>
      </c>
      <c r="AM9">
        <v>212</v>
      </c>
      <c r="AN9">
        <v>100</v>
      </c>
      <c r="AO9" s="1" t="s">
        <v>46</v>
      </c>
      <c r="AP9" t="s">
        <v>85</v>
      </c>
    </row>
    <row r="10" spans="1:42" x14ac:dyDescent="0.2">
      <c r="A10" s="1" t="s">
        <v>86</v>
      </c>
      <c r="B10" t="s">
        <v>87</v>
      </c>
      <c r="C10">
        <v>30</v>
      </c>
      <c r="D10">
        <v>-4</v>
      </c>
      <c r="E10">
        <v>80</v>
      </c>
      <c r="F10">
        <v>262</v>
      </c>
      <c r="K10" t="s">
        <v>83</v>
      </c>
      <c r="L10">
        <v>32</v>
      </c>
      <c r="M10">
        <v>-4</v>
      </c>
      <c r="N10">
        <v>105</v>
      </c>
      <c r="O10">
        <v>172</v>
      </c>
      <c r="T10" t="s">
        <v>50</v>
      </c>
      <c r="U10">
        <v>30</v>
      </c>
      <c r="V10">
        <v>-6</v>
      </c>
      <c r="W10">
        <v>86</v>
      </c>
      <c r="X10">
        <v>8</v>
      </c>
      <c r="AL10" s="1" t="s">
        <v>88</v>
      </c>
      <c r="AM10">
        <v>82</v>
      </c>
      <c r="AN10">
        <v>80</v>
      </c>
      <c r="AO10" s="1" t="s">
        <v>87</v>
      </c>
      <c r="AP10" t="s">
        <v>89</v>
      </c>
    </row>
    <row r="11" spans="1:42" x14ac:dyDescent="0.2">
      <c r="A11" s="1" t="s">
        <v>90</v>
      </c>
      <c r="B11" t="s">
        <v>50</v>
      </c>
      <c r="C11">
        <v>30</v>
      </c>
      <c r="D11">
        <v>-6</v>
      </c>
      <c r="E11">
        <v>91</v>
      </c>
      <c r="F11">
        <v>87</v>
      </c>
      <c r="K11" t="s">
        <v>91</v>
      </c>
      <c r="L11">
        <v>28</v>
      </c>
      <c r="M11">
        <v>-4</v>
      </c>
      <c r="N11">
        <v>98</v>
      </c>
      <c r="O11">
        <v>268</v>
      </c>
      <c r="T11" t="s">
        <v>87</v>
      </c>
      <c r="U11">
        <v>30</v>
      </c>
      <c r="V11">
        <v>-4</v>
      </c>
      <c r="W11">
        <v>91</v>
      </c>
      <c r="X11">
        <v>180</v>
      </c>
      <c r="AL11" s="1" t="s">
        <v>88</v>
      </c>
      <c r="AM11">
        <v>0</v>
      </c>
      <c r="AN11">
        <v>91</v>
      </c>
      <c r="AO11" s="1" t="s">
        <v>87</v>
      </c>
      <c r="AP11" t="s">
        <v>92</v>
      </c>
    </row>
    <row r="12" spans="1:42" x14ac:dyDescent="0.2">
      <c r="A12" s="1" t="s">
        <v>93</v>
      </c>
      <c r="B12" t="s">
        <v>59</v>
      </c>
      <c r="C12">
        <v>26</v>
      </c>
      <c r="D12">
        <v>-6</v>
      </c>
      <c r="E12">
        <v>82</v>
      </c>
      <c r="G12" t="s">
        <v>63</v>
      </c>
      <c r="H12">
        <v>7</v>
      </c>
      <c r="I12" t="s">
        <v>61</v>
      </c>
      <c r="K12" t="s">
        <v>94</v>
      </c>
      <c r="L12">
        <v>26</v>
      </c>
      <c r="M12">
        <v>-4</v>
      </c>
      <c r="N12">
        <v>101</v>
      </c>
      <c r="P12" t="s">
        <v>60</v>
      </c>
      <c r="Q12">
        <v>81</v>
      </c>
      <c r="R12" t="s">
        <v>61</v>
      </c>
      <c r="T12" t="s">
        <v>91</v>
      </c>
      <c r="U12">
        <v>28</v>
      </c>
      <c r="V12">
        <v>-4</v>
      </c>
      <c r="W12">
        <v>108</v>
      </c>
      <c r="Y12" t="s">
        <v>60</v>
      </c>
      <c r="Z12">
        <v>3.5</v>
      </c>
      <c r="AA12" t="s">
        <v>61</v>
      </c>
      <c r="AC12" t="s">
        <v>62</v>
      </c>
      <c r="AD12">
        <v>28</v>
      </c>
      <c r="AE12">
        <v>-6</v>
      </c>
      <c r="AF12">
        <v>85</v>
      </c>
      <c r="AH12" t="s">
        <v>60</v>
      </c>
      <c r="AI12">
        <v>82</v>
      </c>
      <c r="AJ12" t="s">
        <v>64</v>
      </c>
      <c r="AP12" t="s">
        <v>95</v>
      </c>
    </row>
    <row r="13" spans="1:42" x14ac:dyDescent="0.2">
      <c r="A13" s="1" t="s">
        <v>96</v>
      </c>
      <c r="B13" t="s">
        <v>59</v>
      </c>
      <c r="C13">
        <v>26</v>
      </c>
      <c r="D13">
        <v>-6</v>
      </c>
      <c r="E13">
        <v>96</v>
      </c>
      <c r="G13" t="s">
        <v>60</v>
      </c>
      <c r="H13">
        <v>84</v>
      </c>
      <c r="I13" t="s">
        <v>64</v>
      </c>
      <c r="K13" t="s">
        <v>94</v>
      </c>
      <c r="L13">
        <v>26</v>
      </c>
      <c r="M13">
        <v>-4</v>
      </c>
      <c r="N13">
        <v>107</v>
      </c>
      <c r="P13" t="s">
        <v>60</v>
      </c>
      <c r="Q13">
        <v>3.5</v>
      </c>
      <c r="R13" t="s">
        <v>64</v>
      </c>
      <c r="S13">
        <v>20</v>
      </c>
      <c r="T13" t="s">
        <v>97</v>
      </c>
      <c r="U13">
        <v>24</v>
      </c>
      <c r="V13">
        <v>-4</v>
      </c>
      <c r="W13">
        <v>90</v>
      </c>
      <c r="Y13" t="s">
        <v>60</v>
      </c>
      <c r="Z13">
        <v>79.5</v>
      </c>
      <c r="AA13" t="s">
        <v>61</v>
      </c>
      <c r="AO13" s="1" t="s">
        <v>97</v>
      </c>
      <c r="AP13" t="s">
        <v>98</v>
      </c>
    </row>
    <row r="14" spans="1:42" x14ac:dyDescent="0.2">
      <c r="A14" s="1" t="s">
        <v>99</v>
      </c>
      <c r="B14" t="s">
        <v>100</v>
      </c>
      <c r="C14">
        <v>22</v>
      </c>
      <c r="D14">
        <v>-4</v>
      </c>
      <c r="E14">
        <v>84</v>
      </c>
      <c r="G14" t="s">
        <v>63</v>
      </c>
      <c r="H14">
        <v>86.5</v>
      </c>
      <c r="I14" t="s">
        <v>61</v>
      </c>
      <c r="K14" t="s">
        <v>101</v>
      </c>
      <c r="L14">
        <v>22</v>
      </c>
      <c r="M14">
        <v>-6</v>
      </c>
      <c r="N14">
        <v>103</v>
      </c>
      <c r="P14" t="s">
        <v>63</v>
      </c>
      <c r="Q14">
        <v>4</v>
      </c>
      <c r="R14" t="s">
        <v>61</v>
      </c>
      <c r="S14">
        <v>46</v>
      </c>
      <c r="T14" t="s">
        <v>70</v>
      </c>
      <c r="U14">
        <v>24</v>
      </c>
      <c r="V14">
        <v>-6</v>
      </c>
      <c r="W14">
        <v>104</v>
      </c>
      <c r="Y14" t="s">
        <v>63</v>
      </c>
      <c r="Z14">
        <v>84</v>
      </c>
      <c r="AA14" t="s">
        <v>64</v>
      </c>
      <c r="AC14" t="s">
        <v>97</v>
      </c>
      <c r="AD14">
        <v>24</v>
      </c>
      <c r="AE14">
        <v>-4</v>
      </c>
      <c r="AF14">
        <v>88</v>
      </c>
      <c r="AH14" t="s">
        <v>60</v>
      </c>
      <c r="AI14">
        <v>7</v>
      </c>
      <c r="AJ14" t="s">
        <v>64</v>
      </c>
      <c r="AK14">
        <v>23</v>
      </c>
      <c r="AP14" t="s">
        <v>102</v>
      </c>
    </row>
    <row r="15" spans="1:42" x14ac:dyDescent="0.2">
      <c r="A15" s="1" t="s">
        <v>103</v>
      </c>
      <c r="B15" t="s">
        <v>104</v>
      </c>
      <c r="C15">
        <v>20</v>
      </c>
      <c r="D15">
        <v>-4</v>
      </c>
      <c r="E15">
        <v>82</v>
      </c>
      <c r="G15" t="s">
        <v>63</v>
      </c>
      <c r="H15">
        <v>84.5</v>
      </c>
      <c r="I15" t="s">
        <v>61</v>
      </c>
      <c r="K15" t="s">
        <v>105</v>
      </c>
      <c r="L15">
        <v>20</v>
      </c>
      <c r="M15">
        <v>-6</v>
      </c>
      <c r="N15">
        <v>105</v>
      </c>
      <c r="P15" t="s">
        <v>63</v>
      </c>
      <c r="Q15">
        <v>5</v>
      </c>
      <c r="R15" t="s">
        <v>64</v>
      </c>
      <c r="S15">
        <v>15</v>
      </c>
      <c r="T15" t="s">
        <v>101</v>
      </c>
      <c r="U15">
        <v>22</v>
      </c>
      <c r="V15">
        <v>-6</v>
      </c>
      <c r="W15">
        <v>103</v>
      </c>
      <c r="Y15" t="s">
        <v>63</v>
      </c>
      <c r="Z15">
        <v>84.5</v>
      </c>
      <c r="AA15" t="s">
        <v>64</v>
      </c>
      <c r="AC15" t="s">
        <v>100</v>
      </c>
      <c r="AD15">
        <v>22</v>
      </c>
      <c r="AE15">
        <v>-4</v>
      </c>
      <c r="AF15">
        <v>87</v>
      </c>
      <c r="AH15" t="s">
        <v>60</v>
      </c>
      <c r="AI15">
        <v>8</v>
      </c>
      <c r="AJ15" t="s">
        <v>64</v>
      </c>
      <c r="AK15">
        <v>21</v>
      </c>
      <c r="AP15" t="s">
        <v>106</v>
      </c>
    </row>
    <row r="16" spans="1:42" x14ac:dyDescent="0.2">
      <c r="A16" s="1" t="s">
        <v>107</v>
      </c>
      <c r="B16" t="s">
        <v>108</v>
      </c>
      <c r="C16">
        <v>18</v>
      </c>
      <c r="D16">
        <v>-4</v>
      </c>
      <c r="E16">
        <v>81</v>
      </c>
      <c r="G16" t="s">
        <v>63</v>
      </c>
      <c r="H16">
        <v>77.5</v>
      </c>
      <c r="I16" t="s">
        <v>61</v>
      </c>
      <c r="K16" s="1" t="s">
        <v>109</v>
      </c>
      <c r="L16">
        <v>18</v>
      </c>
      <c r="M16" s="1" t="s">
        <v>110</v>
      </c>
      <c r="N16" s="1" t="s">
        <v>111</v>
      </c>
      <c r="O16" s="1"/>
      <c r="P16" s="1" t="s">
        <v>63</v>
      </c>
      <c r="Q16" s="1" t="s">
        <v>674</v>
      </c>
      <c r="R16" s="1" t="s">
        <v>64</v>
      </c>
      <c r="S16" s="1"/>
      <c r="T16" s="1" t="s">
        <v>105</v>
      </c>
      <c r="U16" s="1" t="s">
        <v>90</v>
      </c>
      <c r="V16" s="1" t="s">
        <v>110</v>
      </c>
      <c r="W16" s="1" t="s">
        <v>111</v>
      </c>
      <c r="X16" s="1"/>
      <c r="Y16" s="1" t="s">
        <v>63</v>
      </c>
      <c r="Z16" s="1" t="s">
        <v>676</v>
      </c>
      <c r="AA16" s="1" t="s">
        <v>64</v>
      </c>
      <c r="AB16" s="1"/>
      <c r="AC16" s="1" t="s">
        <v>104</v>
      </c>
      <c r="AD16" s="1" t="s">
        <v>90</v>
      </c>
      <c r="AE16" s="1" t="s">
        <v>113</v>
      </c>
      <c r="AF16" s="1" t="s">
        <v>114</v>
      </c>
      <c r="AG16" s="1"/>
      <c r="AH16" s="1" t="s">
        <v>60</v>
      </c>
      <c r="AI16" s="1" t="s">
        <v>677</v>
      </c>
      <c r="AJ16" s="1" t="s">
        <v>64</v>
      </c>
      <c r="AK16" s="1"/>
      <c r="AP16" t="s">
        <v>115</v>
      </c>
    </row>
    <row r="17" spans="1:42" x14ac:dyDescent="0.2">
      <c r="A17" s="1" t="s">
        <v>116</v>
      </c>
      <c r="B17" t="s">
        <v>117</v>
      </c>
      <c r="C17">
        <v>16</v>
      </c>
      <c r="D17">
        <v>-4</v>
      </c>
      <c r="E17">
        <v>75</v>
      </c>
      <c r="G17" t="s">
        <v>63</v>
      </c>
      <c r="H17">
        <v>89.5</v>
      </c>
      <c r="I17" t="s">
        <v>61</v>
      </c>
      <c r="K17" t="s">
        <v>118</v>
      </c>
      <c r="L17">
        <v>16</v>
      </c>
      <c r="M17">
        <v>-6</v>
      </c>
      <c r="N17">
        <v>98</v>
      </c>
      <c r="P17" t="s">
        <v>63</v>
      </c>
      <c r="Q17">
        <v>9.5</v>
      </c>
      <c r="R17" t="s">
        <v>64</v>
      </c>
      <c r="T17" t="s">
        <v>109</v>
      </c>
      <c r="U17">
        <v>18</v>
      </c>
      <c r="V17">
        <v>-6</v>
      </c>
      <c r="W17">
        <v>112</v>
      </c>
      <c r="Y17" t="s">
        <v>63</v>
      </c>
      <c r="Z17">
        <v>89</v>
      </c>
      <c r="AA17" t="s">
        <v>64</v>
      </c>
      <c r="AC17" t="s">
        <v>108</v>
      </c>
      <c r="AD17">
        <v>18</v>
      </c>
      <c r="AE17">
        <v>-4</v>
      </c>
      <c r="AF17">
        <v>94</v>
      </c>
      <c r="AH17" t="s">
        <v>60</v>
      </c>
      <c r="AI17">
        <v>11</v>
      </c>
      <c r="AJ17" t="s">
        <v>64</v>
      </c>
      <c r="AP17" t="s">
        <v>119</v>
      </c>
    </row>
    <row r="18" spans="1:42" x14ac:dyDescent="0.2">
      <c r="A18" s="1" t="s">
        <v>120</v>
      </c>
      <c r="B18" t="s">
        <v>121</v>
      </c>
      <c r="C18">
        <v>14</v>
      </c>
      <c r="D18">
        <v>-4</v>
      </c>
      <c r="E18">
        <v>136</v>
      </c>
      <c r="G18" t="s">
        <v>60</v>
      </c>
      <c r="H18">
        <v>84.5</v>
      </c>
      <c r="I18" t="s">
        <v>61</v>
      </c>
      <c r="K18" t="s">
        <v>117</v>
      </c>
      <c r="L18">
        <v>16</v>
      </c>
      <c r="M18">
        <v>-4</v>
      </c>
      <c r="N18">
        <v>108</v>
      </c>
      <c r="P18" t="s">
        <v>60</v>
      </c>
      <c r="Q18">
        <v>15</v>
      </c>
      <c r="R18" t="s">
        <v>61</v>
      </c>
      <c r="T18" t="s">
        <v>118</v>
      </c>
      <c r="U18">
        <v>16</v>
      </c>
      <c r="V18">
        <v>-6</v>
      </c>
      <c r="W18">
        <v>62</v>
      </c>
      <c r="Y18" t="s">
        <v>60</v>
      </c>
      <c r="Z18">
        <v>87</v>
      </c>
      <c r="AA18" t="s">
        <v>64</v>
      </c>
      <c r="AC18" t="s">
        <v>74</v>
      </c>
      <c r="AD18">
        <v>14</v>
      </c>
      <c r="AE18">
        <v>-6</v>
      </c>
      <c r="AF18">
        <v>96</v>
      </c>
      <c r="AH18" t="s">
        <v>63</v>
      </c>
      <c r="AI18">
        <v>22</v>
      </c>
      <c r="AJ18" t="s">
        <v>61</v>
      </c>
      <c r="AP18" t="s">
        <v>122</v>
      </c>
    </row>
    <row r="19" spans="1:42" x14ac:dyDescent="0.2">
      <c r="A19" s="1" t="s">
        <v>123</v>
      </c>
      <c r="B19" t="s">
        <v>121</v>
      </c>
      <c r="C19">
        <v>14</v>
      </c>
      <c r="D19">
        <v>-4</v>
      </c>
      <c r="E19">
        <v>92</v>
      </c>
      <c r="F19">
        <v>170</v>
      </c>
      <c r="K19" t="s">
        <v>124</v>
      </c>
      <c r="L19">
        <v>12</v>
      </c>
      <c r="M19">
        <v>-4</v>
      </c>
      <c r="N19">
        <v>74</v>
      </c>
      <c r="O19">
        <v>271</v>
      </c>
      <c r="T19" t="s">
        <v>75</v>
      </c>
      <c r="U19">
        <v>12</v>
      </c>
      <c r="V19">
        <v>-6</v>
      </c>
      <c r="W19">
        <v>100</v>
      </c>
      <c r="X19">
        <v>10</v>
      </c>
      <c r="AC19" t="s">
        <v>74</v>
      </c>
      <c r="AD19">
        <v>14</v>
      </c>
      <c r="AE19">
        <v>-6</v>
      </c>
      <c r="AF19">
        <v>110</v>
      </c>
      <c r="AG19">
        <v>88</v>
      </c>
      <c r="AL19" s="1" t="s">
        <v>125</v>
      </c>
      <c r="AM19">
        <v>91</v>
      </c>
      <c r="AN19">
        <v>74</v>
      </c>
      <c r="AO19" s="1" t="s">
        <v>124</v>
      </c>
      <c r="AP19" t="s">
        <v>126</v>
      </c>
    </row>
    <row r="20" spans="1:42" x14ac:dyDescent="0.2">
      <c r="A20" s="1" t="s">
        <v>127</v>
      </c>
      <c r="B20" t="s">
        <v>124</v>
      </c>
      <c r="C20">
        <v>12</v>
      </c>
      <c r="D20">
        <v>-4</v>
      </c>
      <c r="E20">
        <v>90</v>
      </c>
      <c r="F20">
        <v>177</v>
      </c>
      <c r="K20" t="s">
        <v>128</v>
      </c>
      <c r="L20">
        <v>10</v>
      </c>
      <c r="M20">
        <v>-4</v>
      </c>
      <c r="N20">
        <v>89</v>
      </c>
      <c r="O20">
        <v>272</v>
      </c>
      <c r="S20">
        <v>16</v>
      </c>
      <c r="T20" t="s">
        <v>79</v>
      </c>
      <c r="U20">
        <v>10</v>
      </c>
      <c r="V20">
        <v>-6</v>
      </c>
      <c r="W20">
        <v>101</v>
      </c>
      <c r="X20">
        <v>0</v>
      </c>
      <c r="AC20" t="s">
        <v>75</v>
      </c>
      <c r="AD20">
        <v>12</v>
      </c>
      <c r="AE20">
        <v>-6</v>
      </c>
      <c r="AF20">
        <v>96</v>
      </c>
      <c r="AG20">
        <v>86</v>
      </c>
      <c r="AL20" s="1" t="s">
        <v>129</v>
      </c>
      <c r="AM20">
        <v>264</v>
      </c>
      <c r="AN20">
        <v>96</v>
      </c>
      <c r="AO20" s="1" t="s">
        <v>75</v>
      </c>
      <c r="AP20" t="s">
        <v>130</v>
      </c>
    </row>
    <row r="21" spans="1:42" x14ac:dyDescent="0.2">
      <c r="A21" s="1" t="s">
        <v>131</v>
      </c>
      <c r="B21" t="s">
        <v>83</v>
      </c>
      <c r="C21">
        <v>32</v>
      </c>
      <c r="D21">
        <v>-4</v>
      </c>
      <c r="E21">
        <v>88</v>
      </c>
      <c r="F21">
        <v>3</v>
      </c>
      <c r="K21" t="s">
        <v>132</v>
      </c>
      <c r="L21">
        <v>32</v>
      </c>
      <c r="M21">
        <v>-2</v>
      </c>
      <c r="N21">
        <v>88</v>
      </c>
      <c r="O21">
        <v>265</v>
      </c>
      <c r="T21" t="s">
        <v>133</v>
      </c>
      <c r="U21">
        <v>34</v>
      </c>
      <c r="V21">
        <v>-2</v>
      </c>
      <c r="W21">
        <v>102</v>
      </c>
      <c r="X21">
        <v>177</v>
      </c>
      <c r="AB21">
        <v>14</v>
      </c>
      <c r="AL21" s="1" t="s">
        <v>134</v>
      </c>
      <c r="AM21">
        <v>183</v>
      </c>
      <c r="AN21">
        <v>88</v>
      </c>
      <c r="AO21" s="1" t="s">
        <v>83</v>
      </c>
      <c r="AP21" t="s">
        <v>135</v>
      </c>
    </row>
    <row r="22" spans="1:42" x14ac:dyDescent="0.2">
      <c r="A22" s="1" t="s">
        <v>136</v>
      </c>
      <c r="B22" t="s">
        <v>137</v>
      </c>
      <c r="C22">
        <v>30</v>
      </c>
      <c r="D22">
        <v>-2</v>
      </c>
      <c r="E22">
        <v>100</v>
      </c>
      <c r="F22">
        <v>269</v>
      </c>
      <c r="K22" t="s">
        <v>132</v>
      </c>
      <c r="L22">
        <v>32</v>
      </c>
      <c r="M22">
        <v>-2</v>
      </c>
      <c r="N22">
        <v>96</v>
      </c>
      <c r="O22">
        <v>184</v>
      </c>
      <c r="T22" t="s">
        <v>83</v>
      </c>
      <c r="U22">
        <v>32</v>
      </c>
      <c r="V22">
        <v>-4</v>
      </c>
      <c r="W22">
        <v>87</v>
      </c>
      <c r="X22">
        <v>92</v>
      </c>
      <c r="AC22" t="s">
        <v>87</v>
      </c>
      <c r="AD22">
        <v>30</v>
      </c>
      <c r="AE22">
        <v>-4</v>
      </c>
      <c r="AF22">
        <v>92</v>
      </c>
      <c r="AG22">
        <v>355</v>
      </c>
      <c r="AL22" s="1" t="s">
        <v>138</v>
      </c>
      <c r="AM22">
        <v>272</v>
      </c>
      <c r="AN22">
        <v>87</v>
      </c>
      <c r="AO22" s="1" t="s">
        <v>83</v>
      </c>
      <c r="AP22" t="s">
        <v>139</v>
      </c>
    </row>
    <row r="23" spans="1:42" x14ac:dyDescent="0.2">
      <c r="A23" s="1" t="s">
        <v>140</v>
      </c>
      <c r="B23" t="s">
        <v>87</v>
      </c>
      <c r="C23">
        <v>30</v>
      </c>
      <c r="D23">
        <v>-4</v>
      </c>
      <c r="E23">
        <v>114</v>
      </c>
      <c r="F23">
        <v>91</v>
      </c>
      <c r="K23" t="s">
        <v>137</v>
      </c>
      <c r="L23">
        <v>30</v>
      </c>
      <c r="M23">
        <v>-2</v>
      </c>
      <c r="N23">
        <v>99</v>
      </c>
      <c r="O23">
        <v>167</v>
      </c>
      <c r="T23" t="s">
        <v>141</v>
      </c>
      <c r="U23">
        <v>28</v>
      </c>
      <c r="V23">
        <v>-2</v>
      </c>
      <c r="W23">
        <v>74</v>
      </c>
      <c r="X23">
        <v>266</v>
      </c>
      <c r="AC23" t="s">
        <v>91</v>
      </c>
      <c r="AD23">
        <v>28</v>
      </c>
      <c r="AE23">
        <v>-4</v>
      </c>
      <c r="AF23">
        <v>88</v>
      </c>
      <c r="AG23">
        <v>10</v>
      </c>
      <c r="AL23" s="1" t="s">
        <v>142</v>
      </c>
      <c r="AM23">
        <v>347</v>
      </c>
      <c r="AN23">
        <v>99</v>
      </c>
      <c r="AO23" s="1" t="s">
        <v>137</v>
      </c>
      <c r="AP23" t="s">
        <v>143</v>
      </c>
    </row>
    <row r="24" spans="1:42" x14ac:dyDescent="0.2">
      <c r="A24" s="1" t="s">
        <v>144</v>
      </c>
      <c r="B24" t="s">
        <v>145</v>
      </c>
      <c r="C24">
        <v>26</v>
      </c>
      <c r="D24">
        <v>-2</v>
      </c>
      <c r="E24">
        <v>77</v>
      </c>
      <c r="G24" t="s">
        <v>63</v>
      </c>
      <c r="H24">
        <v>67.5</v>
      </c>
      <c r="I24" t="s">
        <v>61</v>
      </c>
      <c r="K24" t="s">
        <v>94</v>
      </c>
      <c r="L24">
        <v>26</v>
      </c>
      <c r="M24">
        <v>-4</v>
      </c>
      <c r="N24">
        <v>125</v>
      </c>
      <c r="P24" t="s">
        <v>63</v>
      </c>
      <c r="Q24">
        <v>10</v>
      </c>
      <c r="R24" t="s">
        <v>64</v>
      </c>
      <c r="T24" t="s">
        <v>91</v>
      </c>
      <c r="U24">
        <v>28</v>
      </c>
      <c r="V24">
        <v>-4</v>
      </c>
      <c r="W24">
        <v>121</v>
      </c>
      <c r="Y24" t="s">
        <v>63</v>
      </c>
      <c r="Z24">
        <v>83</v>
      </c>
      <c r="AA24" t="s">
        <v>64</v>
      </c>
      <c r="AP24" t="s">
        <v>146</v>
      </c>
    </row>
    <row r="25" spans="1:42" x14ac:dyDescent="0.2">
      <c r="A25" s="1" t="s">
        <v>147</v>
      </c>
      <c r="B25" t="s">
        <v>94</v>
      </c>
      <c r="C25">
        <v>26</v>
      </c>
      <c r="D25">
        <v>-4</v>
      </c>
      <c r="E25">
        <v>87</v>
      </c>
      <c r="G25" t="s">
        <v>63</v>
      </c>
      <c r="H25">
        <v>89.5</v>
      </c>
      <c r="I25" t="s">
        <v>64</v>
      </c>
      <c r="K25" t="s">
        <v>145</v>
      </c>
      <c r="L25">
        <v>26</v>
      </c>
      <c r="M25">
        <v>-2</v>
      </c>
      <c r="N25">
        <v>93</v>
      </c>
      <c r="P25" t="s">
        <v>60</v>
      </c>
      <c r="Q25">
        <v>5</v>
      </c>
      <c r="R25" t="s">
        <v>61</v>
      </c>
      <c r="T25" t="s">
        <v>148</v>
      </c>
      <c r="U25">
        <v>24</v>
      </c>
      <c r="V25">
        <v>-2</v>
      </c>
      <c r="W25">
        <v>100</v>
      </c>
      <c r="Y25" t="s">
        <v>61</v>
      </c>
      <c r="Z25">
        <v>0</v>
      </c>
      <c r="AA25" t="s">
        <v>60</v>
      </c>
      <c r="AC25" t="s">
        <v>97</v>
      </c>
      <c r="AD25">
        <v>24</v>
      </c>
      <c r="AE25">
        <v>-4</v>
      </c>
      <c r="AF25">
        <v>96</v>
      </c>
      <c r="AH25" t="s">
        <v>63</v>
      </c>
      <c r="AI25">
        <v>4</v>
      </c>
      <c r="AJ25" t="s">
        <v>61</v>
      </c>
      <c r="AK25">
        <v>18</v>
      </c>
      <c r="AO25" s="1" t="s">
        <v>60</v>
      </c>
      <c r="AP25" t="s">
        <v>149</v>
      </c>
    </row>
    <row r="26" spans="1:42" x14ac:dyDescent="0.2">
      <c r="A26" s="1" t="s">
        <v>150</v>
      </c>
      <c r="B26" t="s">
        <v>148</v>
      </c>
      <c r="C26">
        <v>24</v>
      </c>
      <c r="D26">
        <v>-2</v>
      </c>
      <c r="E26">
        <v>91</v>
      </c>
      <c r="G26" t="s">
        <v>60</v>
      </c>
      <c r="H26">
        <v>2.5</v>
      </c>
      <c r="I26" t="s">
        <v>61</v>
      </c>
      <c r="K26" t="s">
        <v>100</v>
      </c>
      <c r="L26">
        <v>22</v>
      </c>
      <c r="M26">
        <v>-4</v>
      </c>
      <c r="N26">
        <v>98</v>
      </c>
      <c r="P26" t="s">
        <v>63</v>
      </c>
      <c r="Q26">
        <v>4</v>
      </c>
      <c r="R26" t="s">
        <v>61</v>
      </c>
      <c r="S26">
        <v>24</v>
      </c>
      <c r="T26" t="s">
        <v>97</v>
      </c>
      <c r="U26">
        <v>24</v>
      </c>
      <c r="V26">
        <v>-4</v>
      </c>
      <c r="W26">
        <v>92</v>
      </c>
      <c r="Y26" t="s">
        <v>63</v>
      </c>
      <c r="Z26">
        <v>88.5</v>
      </c>
      <c r="AA26" t="s">
        <v>64</v>
      </c>
      <c r="AB26">
        <v>23</v>
      </c>
      <c r="AP26" t="s">
        <v>152</v>
      </c>
    </row>
    <row r="27" spans="1:42" x14ac:dyDescent="0.2">
      <c r="A27" s="1" t="s">
        <v>153</v>
      </c>
      <c r="B27" t="s">
        <v>100</v>
      </c>
      <c r="C27">
        <v>22</v>
      </c>
      <c r="D27">
        <v>-4</v>
      </c>
      <c r="E27">
        <v>57</v>
      </c>
      <c r="G27" t="s">
        <v>64</v>
      </c>
      <c r="H27">
        <v>0</v>
      </c>
      <c r="I27" t="s">
        <v>60</v>
      </c>
      <c r="K27" t="s">
        <v>154</v>
      </c>
      <c r="L27">
        <v>20</v>
      </c>
      <c r="M27">
        <v>-2</v>
      </c>
      <c r="N27">
        <v>131</v>
      </c>
      <c r="P27" t="s">
        <v>60</v>
      </c>
      <c r="Q27">
        <v>88</v>
      </c>
      <c r="R27" t="s">
        <v>61</v>
      </c>
      <c r="T27" t="s">
        <v>104</v>
      </c>
      <c r="U27">
        <v>20</v>
      </c>
      <c r="V27">
        <v>-4</v>
      </c>
      <c r="W27">
        <v>100</v>
      </c>
      <c r="Y27" t="s">
        <v>63</v>
      </c>
      <c r="Z27">
        <v>22</v>
      </c>
      <c r="AA27" t="s">
        <v>61</v>
      </c>
      <c r="AP27" t="s">
        <v>155</v>
      </c>
    </row>
    <row r="28" spans="1:42" x14ac:dyDescent="0.2">
      <c r="A28" s="1" t="s">
        <v>156</v>
      </c>
      <c r="B28" t="s">
        <v>104</v>
      </c>
      <c r="C28">
        <v>20</v>
      </c>
      <c r="D28">
        <v>-4</v>
      </c>
      <c r="E28">
        <v>77</v>
      </c>
      <c r="G28" t="s">
        <v>60</v>
      </c>
      <c r="H28">
        <v>85</v>
      </c>
      <c r="I28" t="s">
        <v>64</v>
      </c>
      <c r="K28" t="s">
        <v>108</v>
      </c>
      <c r="L28">
        <v>18</v>
      </c>
      <c r="M28">
        <v>-4</v>
      </c>
      <c r="N28">
        <v>88</v>
      </c>
      <c r="P28" t="s">
        <v>63</v>
      </c>
      <c r="Q28">
        <v>13.5</v>
      </c>
      <c r="R28" t="s">
        <v>61</v>
      </c>
      <c r="T28" t="s">
        <v>157</v>
      </c>
      <c r="U28">
        <v>18</v>
      </c>
      <c r="V28">
        <v>-2</v>
      </c>
      <c r="W28">
        <v>112</v>
      </c>
      <c r="Y28" t="s">
        <v>60</v>
      </c>
      <c r="Z28">
        <v>86</v>
      </c>
      <c r="AA28" t="s">
        <v>61</v>
      </c>
      <c r="AC28" t="s">
        <v>154</v>
      </c>
      <c r="AD28">
        <v>20</v>
      </c>
      <c r="AE28">
        <v>-2</v>
      </c>
      <c r="AF28">
        <v>105</v>
      </c>
      <c r="AH28" t="s">
        <v>60</v>
      </c>
      <c r="AI28">
        <v>10</v>
      </c>
      <c r="AJ28" t="s">
        <v>61</v>
      </c>
      <c r="AK28">
        <v>25</v>
      </c>
      <c r="AP28" t="s">
        <v>158</v>
      </c>
    </row>
    <row r="29" spans="1:42" x14ac:dyDescent="0.2">
      <c r="A29" s="1" t="s">
        <v>159</v>
      </c>
      <c r="B29" t="s">
        <v>108</v>
      </c>
      <c r="C29">
        <v>18</v>
      </c>
      <c r="D29">
        <v>-4</v>
      </c>
      <c r="E29">
        <v>101</v>
      </c>
      <c r="G29" t="s">
        <v>64</v>
      </c>
      <c r="H29">
        <v>0</v>
      </c>
      <c r="I29" t="s">
        <v>60</v>
      </c>
      <c r="K29" t="s">
        <v>157</v>
      </c>
      <c r="L29">
        <v>18</v>
      </c>
      <c r="M29">
        <v>-2</v>
      </c>
      <c r="N29">
        <v>94</v>
      </c>
      <c r="P29" t="s">
        <v>60</v>
      </c>
      <c r="Q29">
        <v>5</v>
      </c>
      <c r="R29" t="s">
        <v>64</v>
      </c>
      <c r="T29" t="s">
        <v>160</v>
      </c>
      <c r="U29">
        <v>16</v>
      </c>
      <c r="V29">
        <v>-2</v>
      </c>
      <c r="W29">
        <v>98</v>
      </c>
      <c r="Y29" t="s">
        <v>60</v>
      </c>
      <c r="Z29">
        <v>88</v>
      </c>
      <c r="AA29" t="s">
        <v>61</v>
      </c>
      <c r="AC29" t="s">
        <v>117</v>
      </c>
      <c r="AD29">
        <v>16</v>
      </c>
      <c r="AE29">
        <v>-4</v>
      </c>
      <c r="AF29">
        <v>93</v>
      </c>
      <c r="AH29" t="s">
        <v>63</v>
      </c>
      <c r="AI29">
        <v>4</v>
      </c>
      <c r="AJ29" t="s">
        <v>64</v>
      </c>
      <c r="AP29" t="s">
        <v>161</v>
      </c>
    </row>
    <row r="30" spans="1:42" x14ac:dyDescent="0.2">
      <c r="A30" s="1" t="s">
        <v>162</v>
      </c>
      <c r="B30" t="s">
        <v>160</v>
      </c>
      <c r="C30">
        <v>16</v>
      </c>
      <c r="D30">
        <v>-2</v>
      </c>
      <c r="E30">
        <v>92</v>
      </c>
      <c r="G30" t="s">
        <v>60</v>
      </c>
      <c r="H30">
        <v>1</v>
      </c>
      <c r="I30" t="s">
        <v>64</v>
      </c>
      <c r="K30" t="s">
        <v>163</v>
      </c>
      <c r="L30">
        <v>14</v>
      </c>
      <c r="M30">
        <v>-2</v>
      </c>
      <c r="N30">
        <v>91</v>
      </c>
      <c r="P30" t="s">
        <v>61</v>
      </c>
      <c r="Q30">
        <v>0</v>
      </c>
      <c r="R30" t="s">
        <v>63</v>
      </c>
      <c r="T30" t="s">
        <v>121</v>
      </c>
      <c r="U30">
        <v>14</v>
      </c>
      <c r="V30">
        <v>-4</v>
      </c>
      <c r="W30">
        <v>95</v>
      </c>
      <c r="Y30" t="s">
        <v>63</v>
      </c>
      <c r="Z30">
        <v>0.5</v>
      </c>
      <c r="AA30" t="s">
        <v>64</v>
      </c>
      <c r="AP30" t="s">
        <v>164</v>
      </c>
    </row>
    <row r="31" spans="1:42" x14ac:dyDescent="0.2">
      <c r="A31" s="1" t="s">
        <v>165</v>
      </c>
      <c r="B31" t="s">
        <v>124</v>
      </c>
      <c r="C31">
        <v>12</v>
      </c>
      <c r="D31">
        <v>-4</v>
      </c>
      <c r="E31">
        <v>82</v>
      </c>
      <c r="F31">
        <v>356</v>
      </c>
      <c r="K31" t="s">
        <v>121</v>
      </c>
      <c r="L31">
        <v>14</v>
      </c>
      <c r="M31">
        <v>-4</v>
      </c>
      <c r="N31">
        <v>87</v>
      </c>
      <c r="O31">
        <v>98</v>
      </c>
      <c r="T31" t="s">
        <v>163</v>
      </c>
      <c r="U31">
        <v>14</v>
      </c>
      <c r="V31">
        <v>-2</v>
      </c>
      <c r="W31">
        <v>106</v>
      </c>
      <c r="X31">
        <v>184</v>
      </c>
      <c r="AC31" t="s">
        <v>166</v>
      </c>
      <c r="AD31">
        <v>12</v>
      </c>
      <c r="AE31">
        <v>-2</v>
      </c>
      <c r="AF31">
        <v>100</v>
      </c>
      <c r="AG31">
        <v>263</v>
      </c>
      <c r="AL31" s="1" t="s">
        <v>167</v>
      </c>
      <c r="AM31">
        <v>278</v>
      </c>
      <c r="AN31">
        <v>87</v>
      </c>
      <c r="AO31" s="1" t="s">
        <v>121</v>
      </c>
      <c r="AP31" t="s">
        <v>168</v>
      </c>
    </row>
    <row r="32" spans="1:42" x14ac:dyDescent="0.2">
      <c r="A32" s="1" t="s">
        <v>169</v>
      </c>
      <c r="B32" t="s">
        <v>128</v>
      </c>
      <c r="C32">
        <v>10</v>
      </c>
      <c r="D32">
        <v>-4</v>
      </c>
      <c r="E32">
        <v>95</v>
      </c>
      <c r="F32">
        <v>0</v>
      </c>
      <c r="J32">
        <v>-12</v>
      </c>
      <c r="K32" t="s">
        <v>170</v>
      </c>
      <c r="L32">
        <v>10</v>
      </c>
      <c r="M32">
        <v>-2</v>
      </c>
      <c r="N32">
        <v>94</v>
      </c>
      <c r="O32">
        <v>270</v>
      </c>
      <c r="T32" t="s">
        <v>124</v>
      </c>
      <c r="U32">
        <v>12</v>
      </c>
      <c r="V32">
        <v>-4</v>
      </c>
      <c r="W32">
        <v>93</v>
      </c>
      <c r="X32">
        <v>91</v>
      </c>
      <c r="AC32" t="s">
        <v>166</v>
      </c>
      <c r="AD32">
        <v>12</v>
      </c>
      <c r="AE32">
        <v>-2</v>
      </c>
      <c r="AF32">
        <v>92</v>
      </c>
      <c r="AG32">
        <v>180</v>
      </c>
      <c r="AL32" s="1" t="s">
        <v>171</v>
      </c>
      <c r="AM32">
        <v>0</v>
      </c>
      <c r="AN32">
        <v>92</v>
      </c>
      <c r="AO32" s="1" t="s">
        <v>166</v>
      </c>
      <c r="AP32" t="s">
        <v>172</v>
      </c>
    </row>
    <row r="33" spans="1:42" x14ac:dyDescent="0.2">
      <c r="A33" s="1" t="s">
        <v>173</v>
      </c>
      <c r="B33" t="s">
        <v>133</v>
      </c>
      <c r="C33">
        <v>34</v>
      </c>
      <c r="D33">
        <v>-2</v>
      </c>
      <c r="E33">
        <v>98</v>
      </c>
      <c r="F33">
        <v>91</v>
      </c>
      <c r="K33" t="s">
        <v>132</v>
      </c>
      <c r="L33">
        <v>32</v>
      </c>
      <c r="M33">
        <v>-2</v>
      </c>
      <c r="N33">
        <v>92</v>
      </c>
      <c r="O33">
        <v>2</v>
      </c>
      <c r="T33" t="s">
        <v>174</v>
      </c>
      <c r="U33">
        <v>32</v>
      </c>
      <c r="V33" t="s">
        <v>175</v>
      </c>
      <c r="W33">
        <v>90.5</v>
      </c>
      <c r="X33">
        <v>268</v>
      </c>
      <c r="AB33">
        <v>17</v>
      </c>
      <c r="AC33" t="s">
        <v>176</v>
      </c>
      <c r="AD33">
        <v>34</v>
      </c>
      <c r="AE33" t="s">
        <v>175</v>
      </c>
      <c r="AF33">
        <v>96</v>
      </c>
      <c r="AG33">
        <v>178</v>
      </c>
      <c r="AL33" s="1" t="s">
        <v>177</v>
      </c>
      <c r="AM33">
        <v>271</v>
      </c>
      <c r="AN33">
        <v>98</v>
      </c>
      <c r="AO33" s="1" t="s">
        <v>133</v>
      </c>
      <c r="AP33" t="s">
        <v>178</v>
      </c>
    </row>
    <row r="34" spans="1:42" x14ac:dyDescent="0.2">
      <c r="A34" s="1" t="s">
        <v>179</v>
      </c>
      <c r="B34" t="s">
        <v>132</v>
      </c>
      <c r="C34">
        <v>32</v>
      </c>
      <c r="D34">
        <v>-2</v>
      </c>
      <c r="E34">
        <v>106</v>
      </c>
      <c r="F34">
        <v>89</v>
      </c>
      <c r="J34">
        <v>15</v>
      </c>
      <c r="K34" t="s">
        <v>174</v>
      </c>
      <c r="L34">
        <v>32</v>
      </c>
      <c r="M34" t="s">
        <v>175</v>
      </c>
      <c r="N34">
        <v>92</v>
      </c>
      <c r="O34">
        <v>173</v>
      </c>
      <c r="T34" t="s">
        <v>180</v>
      </c>
      <c r="U34">
        <v>30</v>
      </c>
      <c r="V34" t="s">
        <v>175</v>
      </c>
      <c r="W34">
        <v>83</v>
      </c>
      <c r="X34">
        <v>271</v>
      </c>
      <c r="AC34" t="s">
        <v>137</v>
      </c>
      <c r="AD34">
        <v>30</v>
      </c>
      <c r="AE34">
        <v>-2</v>
      </c>
      <c r="AF34">
        <v>96</v>
      </c>
      <c r="AG34">
        <v>6</v>
      </c>
      <c r="AL34" s="1" t="s">
        <v>181</v>
      </c>
      <c r="AM34">
        <v>353</v>
      </c>
      <c r="AN34">
        <v>92</v>
      </c>
      <c r="AO34" s="1" t="s">
        <v>174</v>
      </c>
      <c r="AP34" t="s">
        <v>182</v>
      </c>
    </row>
    <row r="35" spans="1:42" x14ac:dyDescent="0.2">
      <c r="A35" s="1" t="s">
        <v>183</v>
      </c>
      <c r="B35" t="s">
        <v>141</v>
      </c>
      <c r="C35">
        <v>28</v>
      </c>
      <c r="D35">
        <v>-2</v>
      </c>
      <c r="E35">
        <v>76.5</v>
      </c>
      <c r="F35">
        <v>4</v>
      </c>
      <c r="K35" t="s">
        <v>137</v>
      </c>
      <c r="L35">
        <v>30</v>
      </c>
      <c r="M35">
        <v>-2</v>
      </c>
      <c r="N35">
        <v>103</v>
      </c>
      <c r="O35">
        <v>99</v>
      </c>
      <c r="T35" t="s">
        <v>180</v>
      </c>
      <c r="U35">
        <v>30</v>
      </c>
      <c r="V35" t="s">
        <v>175</v>
      </c>
      <c r="W35">
        <v>111</v>
      </c>
      <c r="X35">
        <v>176</v>
      </c>
      <c r="AC35" t="s">
        <v>184</v>
      </c>
      <c r="AD35">
        <v>28</v>
      </c>
      <c r="AE35" t="s">
        <v>175</v>
      </c>
      <c r="AF35">
        <v>89</v>
      </c>
      <c r="AG35">
        <v>258</v>
      </c>
      <c r="AL35" s="1" t="s">
        <v>185</v>
      </c>
      <c r="AM35">
        <v>184</v>
      </c>
      <c r="AN35">
        <v>77</v>
      </c>
      <c r="AO35" s="1" t="s">
        <v>141</v>
      </c>
      <c r="AP35" t="s">
        <v>186</v>
      </c>
    </row>
    <row r="36" spans="1:42" x14ac:dyDescent="0.2">
      <c r="A36" s="1" t="s">
        <v>187</v>
      </c>
      <c r="B36" t="s">
        <v>141</v>
      </c>
      <c r="C36">
        <v>28</v>
      </c>
      <c r="D36">
        <v>-2</v>
      </c>
      <c r="E36">
        <v>101</v>
      </c>
      <c r="F36">
        <v>89</v>
      </c>
      <c r="K36" t="s">
        <v>188</v>
      </c>
      <c r="L36">
        <v>26</v>
      </c>
      <c r="M36" t="s">
        <v>175</v>
      </c>
      <c r="N36">
        <v>90</v>
      </c>
      <c r="O36">
        <v>268</v>
      </c>
      <c r="S36">
        <v>14</v>
      </c>
      <c r="T36" t="s">
        <v>184</v>
      </c>
      <c r="U36">
        <v>28</v>
      </c>
      <c r="V36" t="s">
        <v>175</v>
      </c>
      <c r="W36">
        <v>92</v>
      </c>
      <c r="X36">
        <v>175</v>
      </c>
      <c r="AL36" s="1" t="s">
        <v>189</v>
      </c>
      <c r="AM36">
        <v>269</v>
      </c>
      <c r="AN36">
        <v>101</v>
      </c>
      <c r="AO36" s="1" t="s">
        <v>141</v>
      </c>
      <c r="AP36" t="s">
        <v>190</v>
      </c>
    </row>
    <row r="37" spans="1:42" x14ac:dyDescent="0.2">
      <c r="A37" s="1" t="s">
        <v>191</v>
      </c>
      <c r="B37" t="s">
        <v>192</v>
      </c>
      <c r="C37">
        <v>24</v>
      </c>
      <c r="D37" t="s">
        <v>175</v>
      </c>
      <c r="E37">
        <v>81</v>
      </c>
      <c r="G37" t="s">
        <v>63</v>
      </c>
      <c r="H37">
        <v>88</v>
      </c>
      <c r="I37" t="s">
        <v>61</v>
      </c>
      <c r="K37" t="s">
        <v>148</v>
      </c>
      <c r="L37">
        <v>24</v>
      </c>
      <c r="M37">
        <v>-2</v>
      </c>
      <c r="N37">
        <v>100</v>
      </c>
      <c r="P37" t="s">
        <v>63</v>
      </c>
      <c r="Q37">
        <v>7</v>
      </c>
      <c r="R37" t="s">
        <v>64</v>
      </c>
      <c r="T37" t="s">
        <v>145</v>
      </c>
      <c r="U37">
        <v>26</v>
      </c>
      <c r="V37">
        <v>-2</v>
      </c>
      <c r="W37">
        <v>106</v>
      </c>
      <c r="Y37" t="s">
        <v>63</v>
      </c>
      <c r="Z37">
        <v>86.5</v>
      </c>
      <c r="AA37" t="s">
        <v>64</v>
      </c>
      <c r="AC37" t="s">
        <v>188</v>
      </c>
      <c r="AD37">
        <v>26</v>
      </c>
      <c r="AE37" t="s">
        <v>175</v>
      </c>
      <c r="AF37">
        <v>90</v>
      </c>
      <c r="AH37" t="s">
        <v>60</v>
      </c>
      <c r="AI37">
        <v>8</v>
      </c>
      <c r="AJ37" t="s">
        <v>64</v>
      </c>
      <c r="AP37" t="s">
        <v>193</v>
      </c>
    </row>
    <row r="38" spans="1:42" x14ac:dyDescent="0.2">
      <c r="A38" s="1" t="s">
        <v>194</v>
      </c>
      <c r="B38" t="s">
        <v>195</v>
      </c>
      <c r="C38">
        <v>22</v>
      </c>
      <c r="D38" t="s">
        <v>175</v>
      </c>
      <c r="E38">
        <v>87</v>
      </c>
      <c r="G38" t="s">
        <v>60</v>
      </c>
      <c r="H38">
        <v>82.5</v>
      </c>
      <c r="I38" t="s">
        <v>61</v>
      </c>
      <c r="K38" t="s">
        <v>151</v>
      </c>
      <c r="L38">
        <v>22</v>
      </c>
      <c r="M38">
        <v>-2</v>
      </c>
      <c r="N38">
        <v>92</v>
      </c>
      <c r="P38" t="s">
        <v>63</v>
      </c>
      <c r="Q38">
        <v>2.5</v>
      </c>
      <c r="R38" t="s">
        <v>64</v>
      </c>
      <c r="T38" t="s">
        <v>148</v>
      </c>
      <c r="U38">
        <v>24</v>
      </c>
      <c r="V38">
        <v>-2</v>
      </c>
      <c r="W38">
        <v>100</v>
      </c>
      <c r="Y38" t="s">
        <v>64</v>
      </c>
      <c r="Z38">
        <v>0</v>
      </c>
      <c r="AA38" t="s">
        <v>60</v>
      </c>
      <c r="AC38" t="s">
        <v>192</v>
      </c>
      <c r="AD38">
        <v>24</v>
      </c>
      <c r="AE38" t="s">
        <v>175</v>
      </c>
      <c r="AF38">
        <v>97</v>
      </c>
      <c r="AH38" t="s">
        <v>60</v>
      </c>
      <c r="AI38">
        <v>9</v>
      </c>
      <c r="AJ38" t="s">
        <v>64</v>
      </c>
      <c r="AP38" t="s">
        <v>196</v>
      </c>
    </row>
    <row r="39" spans="1:42" x14ac:dyDescent="0.2">
      <c r="A39" s="1" t="s">
        <v>197</v>
      </c>
      <c r="B39" t="s">
        <v>198</v>
      </c>
      <c r="C39">
        <v>20</v>
      </c>
      <c r="D39" t="s">
        <v>175</v>
      </c>
      <c r="E39">
        <v>61</v>
      </c>
      <c r="G39" t="s">
        <v>60</v>
      </c>
      <c r="H39">
        <v>82.5</v>
      </c>
      <c r="I39" t="s">
        <v>61</v>
      </c>
      <c r="K39" t="s">
        <v>154</v>
      </c>
      <c r="L39">
        <v>20</v>
      </c>
      <c r="M39">
        <v>-2</v>
      </c>
      <c r="N39">
        <v>97</v>
      </c>
      <c r="P39" t="s">
        <v>63</v>
      </c>
      <c r="Q39">
        <v>19.5</v>
      </c>
      <c r="R39" t="s">
        <v>64</v>
      </c>
      <c r="S39">
        <v>26</v>
      </c>
      <c r="T39" t="s">
        <v>151</v>
      </c>
      <c r="U39">
        <v>22</v>
      </c>
      <c r="V39">
        <v>-2</v>
      </c>
      <c r="W39">
        <v>124</v>
      </c>
      <c r="Y39" t="s">
        <v>60</v>
      </c>
      <c r="Z39">
        <v>88.5</v>
      </c>
      <c r="AA39" t="s">
        <v>64</v>
      </c>
      <c r="AC39" t="s">
        <v>195</v>
      </c>
      <c r="AD39">
        <v>22</v>
      </c>
      <c r="AE39" t="s">
        <v>175</v>
      </c>
      <c r="AF39">
        <v>105</v>
      </c>
      <c r="AH39" t="s">
        <v>60</v>
      </c>
      <c r="AI39">
        <v>18</v>
      </c>
      <c r="AJ39" t="s">
        <v>64</v>
      </c>
      <c r="AP39" t="s">
        <v>199</v>
      </c>
    </row>
    <row r="40" spans="1:42" x14ac:dyDescent="0.2">
      <c r="A40" s="1" t="s">
        <v>200</v>
      </c>
      <c r="B40" t="s">
        <v>201</v>
      </c>
      <c r="C40">
        <v>18</v>
      </c>
      <c r="D40" t="s">
        <v>175</v>
      </c>
      <c r="E40">
        <v>88</v>
      </c>
      <c r="G40" t="s">
        <v>60</v>
      </c>
      <c r="H40">
        <v>96</v>
      </c>
      <c r="I40" t="s">
        <v>61</v>
      </c>
      <c r="K40" t="s">
        <v>157</v>
      </c>
      <c r="L40">
        <v>18</v>
      </c>
      <c r="M40">
        <v>-2</v>
      </c>
      <c r="N40">
        <v>89</v>
      </c>
      <c r="P40" t="s">
        <v>63</v>
      </c>
      <c r="Q40">
        <v>4</v>
      </c>
      <c r="R40" t="s">
        <v>64</v>
      </c>
      <c r="T40" t="s">
        <v>154</v>
      </c>
      <c r="U40">
        <v>20</v>
      </c>
      <c r="V40">
        <v>-2</v>
      </c>
      <c r="W40">
        <v>99</v>
      </c>
      <c r="Y40" t="s">
        <v>60</v>
      </c>
      <c r="Z40">
        <v>36</v>
      </c>
      <c r="AA40" t="s">
        <v>64</v>
      </c>
      <c r="AC40" t="s">
        <v>198</v>
      </c>
      <c r="AD40">
        <v>20</v>
      </c>
      <c r="AE40" t="s">
        <v>175</v>
      </c>
      <c r="AF40">
        <v>105</v>
      </c>
      <c r="AH40" t="s">
        <v>60</v>
      </c>
      <c r="AI40">
        <v>4</v>
      </c>
      <c r="AJ40" t="s">
        <v>64</v>
      </c>
      <c r="AK40">
        <v>32</v>
      </c>
      <c r="AP40" t="s">
        <v>202</v>
      </c>
    </row>
    <row r="41" spans="1:42" x14ac:dyDescent="0.2">
      <c r="A41" s="1" t="s">
        <v>203</v>
      </c>
      <c r="B41" t="s">
        <v>204</v>
      </c>
      <c r="C41">
        <v>16</v>
      </c>
      <c r="D41" t="s">
        <v>175</v>
      </c>
      <c r="E41">
        <v>84</v>
      </c>
      <c r="G41" t="s">
        <v>60</v>
      </c>
      <c r="H41">
        <v>81</v>
      </c>
      <c r="I41" t="s">
        <v>61</v>
      </c>
      <c r="K41" t="s">
        <v>160</v>
      </c>
      <c r="L41">
        <v>16</v>
      </c>
      <c r="M41">
        <v>-2</v>
      </c>
      <c r="N41">
        <v>83</v>
      </c>
      <c r="P41" t="s">
        <v>63</v>
      </c>
      <c r="Q41">
        <v>7</v>
      </c>
      <c r="R41" t="s">
        <v>64</v>
      </c>
      <c r="T41" t="s">
        <v>157</v>
      </c>
      <c r="U41">
        <v>18</v>
      </c>
      <c r="V41">
        <v>-2</v>
      </c>
      <c r="W41">
        <v>105</v>
      </c>
      <c r="Y41" t="s">
        <v>60</v>
      </c>
      <c r="Z41">
        <v>83.5</v>
      </c>
      <c r="AA41" t="s">
        <v>64</v>
      </c>
      <c r="AC41" t="s">
        <v>201</v>
      </c>
      <c r="AD41">
        <v>18</v>
      </c>
      <c r="AE41" t="s">
        <v>175</v>
      </c>
      <c r="AF41">
        <v>105</v>
      </c>
      <c r="AH41" t="s">
        <v>60</v>
      </c>
      <c r="AI41">
        <v>5.5</v>
      </c>
      <c r="AJ41" t="s">
        <v>64</v>
      </c>
      <c r="AP41" t="s">
        <v>205</v>
      </c>
    </row>
    <row r="42" spans="1:42" x14ac:dyDescent="0.2">
      <c r="A42" s="1" t="s">
        <v>206</v>
      </c>
      <c r="B42" t="s">
        <v>160</v>
      </c>
      <c r="C42">
        <v>16</v>
      </c>
      <c r="D42">
        <v>-2</v>
      </c>
      <c r="E42">
        <v>83</v>
      </c>
      <c r="G42" t="s">
        <v>63</v>
      </c>
      <c r="H42">
        <v>85</v>
      </c>
      <c r="I42" t="s">
        <v>64</v>
      </c>
      <c r="K42" t="s">
        <v>163</v>
      </c>
      <c r="L42">
        <v>14</v>
      </c>
      <c r="M42">
        <v>-2</v>
      </c>
      <c r="N42">
        <v>101</v>
      </c>
      <c r="P42" t="s">
        <v>63</v>
      </c>
      <c r="Q42">
        <v>7</v>
      </c>
      <c r="R42" t="s">
        <v>64</v>
      </c>
      <c r="T42" t="s">
        <v>207</v>
      </c>
      <c r="U42">
        <v>14</v>
      </c>
      <c r="V42" t="s">
        <v>175</v>
      </c>
      <c r="W42">
        <v>106</v>
      </c>
      <c r="Y42" t="s">
        <v>63</v>
      </c>
      <c r="Z42">
        <v>88</v>
      </c>
      <c r="AA42" t="s">
        <v>61</v>
      </c>
      <c r="AC42" t="s">
        <v>204</v>
      </c>
      <c r="AD42">
        <v>16</v>
      </c>
      <c r="AE42" t="s">
        <v>175</v>
      </c>
      <c r="AF42">
        <v>88</v>
      </c>
      <c r="AH42" t="s">
        <v>60</v>
      </c>
      <c r="AI42">
        <v>9</v>
      </c>
      <c r="AJ42" t="s">
        <v>61</v>
      </c>
      <c r="AP42" t="s">
        <v>208</v>
      </c>
    </row>
    <row r="43" spans="1:42" x14ac:dyDescent="0.2">
      <c r="A43" s="1" t="s">
        <v>209</v>
      </c>
      <c r="B43" t="s">
        <v>207</v>
      </c>
      <c r="C43">
        <v>14</v>
      </c>
      <c r="D43" t="s">
        <v>175</v>
      </c>
      <c r="E43">
        <v>90</v>
      </c>
      <c r="K43" t="s">
        <v>210</v>
      </c>
      <c r="L43">
        <v>12</v>
      </c>
      <c r="M43" t="s">
        <v>175</v>
      </c>
      <c r="N43">
        <v>99.5</v>
      </c>
      <c r="O43">
        <v>272</v>
      </c>
      <c r="T43" t="s">
        <v>166</v>
      </c>
      <c r="U43">
        <v>12</v>
      </c>
      <c r="V43">
        <v>-2</v>
      </c>
      <c r="W43">
        <v>98</v>
      </c>
      <c r="X43">
        <v>355</v>
      </c>
      <c r="AC43" t="s">
        <v>163</v>
      </c>
      <c r="AD43">
        <v>14</v>
      </c>
      <c r="AE43">
        <v>-2</v>
      </c>
      <c r="AF43">
        <v>87.5</v>
      </c>
      <c r="AG43">
        <v>87</v>
      </c>
      <c r="AL43" s="1" t="s">
        <v>211</v>
      </c>
      <c r="AM43">
        <v>267</v>
      </c>
      <c r="AN43">
        <v>87</v>
      </c>
      <c r="AO43" s="1" t="s">
        <v>163</v>
      </c>
      <c r="AP43" t="s">
        <v>212</v>
      </c>
    </row>
    <row r="44" spans="1:42" x14ac:dyDescent="0.2">
      <c r="A44" s="1" t="s">
        <v>213</v>
      </c>
      <c r="B44" t="s">
        <v>166</v>
      </c>
      <c r="C44">
        <v>12</v>
      </c>
      <c r="D44">
        <v>-2</v>
      </c>
      <c r="E44">
        <v>95</v>
      </c>
      <c r="F44">
        <v>89</v>
      </c>
      <c r="K44" s="2" t="s">
        <v>210</v>
      </c>
      <c r="L44" s="2">
        <v>12</v>
      </c>
      <c r="M44" s="2" t="s">
        <v>175</v>
      </c>
      <c r="N44">
        <v>91</v>
      </c>
      <c r="O44">
        <v>49</v>
      </c>
      <c r="S44">
        <v>18</v>
      </c>
      <c r="T44" t="s">
        <v>214</v>
      </c>
      <c r="U44">
        <v>10</v>
      </c>
      <c r="V44" t="s">
        <v>175</v>
      </c>
      <c r="W44">
        <v>92</v>
      </c>
      <c r="X44">
        <v>271</v>
      </c>
      <c r="AC44" t="s">
        <v>170</v>
      </c>
      <c r="AD44">
        <v>10</v>
      </c>
      <c r="AE44">
        <v>-2</v>
      </c>
      <c r="AF44">
        <v>95</v>
      </c>
      <c r="AG44">
        <v>0</v>
      </c>
      <c r="AL44" s="1" t="s">
        <v>215</v>
      </c>
      <c r="AM44">
        <v>269</v>
      </c>
      <c r="AN44">
        <v>95</v>
      </c>
      <c r="AO44" s="1" t="s">
        <v>166</v>
      </c>
      <c r="AP44" s="2" t="s">
        <v>216</v>
      </c>
    </row>
    <row r="45" spans="1:42" x14ac:dyDescent="0.2">
      <c r="A45" s="1" t="s">
        <v>217</v>
      </c>
      <c r="B45" t="s">
        <v>214</v>
      </c>
      <c r="C45">
        <v>10</v>
      </c>
      <c r="D45" t="s">
        <v>175</v>
      </c>
      <c r="E45">
        <v>88</v>
      </c>
      <c r="F45">
        <v>182</v>
      </c>
      <c r="J45">
        <v>24</v>
      </c>
      <c r="K45" t="s">
        <v>218</v>
      </c>
      <c r="L45">
        <v>8</v>
      </c>
      <c r="M45" t="s">
        <v>175</v>
      </c>
      <c r="N45">
        <v>97.5</v>
      </c>
      <c r="O45">
        <v>274</v>
      </c>
      <c r="S45">
        <v>18</v>
      </c>
      <c r="T45" t="s">
        <v>170</v>
      </c>
      <c r="U45">
        <v>10</v>
      </c>
      <c r="V45">
        <v>-2</v>
      </c>
      <c r="W45">
        <v>90</v>
      </c>
      <c r="X45">
        <v>85</v>
      </c>
      <c r="AB45">
        <v>-1</v>
      </c>
      <c r="AO45" s="1" t="s">
        <v>170</v>
      </c>
      <c r="AP45" t="s">
        <v>219</v>
      </c>
    </row>
    <row r="46" spans="1:42" x14ac:dyDescent="0.2">
      <c r="A46" s="1" t="s">
        <v>220</v>
      </c>
      <c r="B46" t="s">
        <v>221</v>
      </c>
      <c r="C46">
        <v>24</v>
      </c>
      <c r="D46">
        <v>2</v>
      </c>
      <c r="E46">
        <v>91</v>
      </c>
      <c r="G46" t="s">
        <v>63</v>
      </c>
      <c r="H46">
        <v>85</v>
      </c>
      <c r="I46" t="s">
        <v>61</v>
      </c>
      <c r="K46" t="s">
        <v>192</v>
      </c>
      <c r="L46">
        <v>24</v>
      </c>
      <c r="M46" t="s">
        <v>175</v>
      </c>
      <c r="N46">
        <v>102</v>
      </c>
      <c r="P46" t="s">
        <v>63</v>
      </c>
      <c r="Q46">
        <v>1</v>
      </c>
      <c r="R46" t="s">
        <v>64</v>
      </c>
      <c r="T46" t="s">
        <v>188</v>
      </c>
      <c r="U46">
        <v>26</v>
      </c>
      <c r="V46" t="s">
        <v>175</v>
      </c>
      <c r="W46">
        <v>98</v>
      </c>
      <c r="Y46" t="s">
        <v>63</v>
      </c>
      <c r="Z46">
        <v>82.5</v>
      </c>
      <c r="AA46" t="s">
        <v>64</v>
      </c>
      <c r="AC46" t="s">
        <v>222</v>
      </c>
      <c r="AD46">
        <v>26</v>
      </c>
      <c r="AE46">
        <v>2</v>
      </c>
      <c r="AF46">
        <v>82</v>
      </c>
      <c r="AH46" t="s">
        <v>60</v>
      </c>
      <c r="AI46">
        <v>2</v>
      </c>
      <c r="AJ46" t="s">
        <v>64</v>
      </c>
      <c r="AL46" s="1" t="s">
        <v>223</v>
      </c>
      <c r="AM46">
        <v>95</v>
      </c>
      <c r="AN46">
        <v>91</v>
      </c>
      <c r="AO46" s="1" t="s">
        <v>221</v>
      </c>
      <c r="AP46" t="s">
        <v>224</v>
      </c>
    </row>
    <row r="47" spans="1:42" x14ac:dyDescent="0.2">
      <c r="A47" s="1" t="s">
        <v>225</v>
      </c>
      <c r="B47" t="s">
        <v>226</v>
      </c>
      <c r="C47">
        <v>22</v>
      </c>
      <c r="D47">
        <v>2</v>
      </c>
      <c r="E47">
        <v>95</v>
      </c>
      <c r="G47" t="s">
        <v>60</v>
      </c>
      <c r="H47">
        <v>87.5</v>
      </c>
      <c r="I47" t="s">
        <v>61</v>
      </c>
      <c r="K47" t="s">
        <v>221</v>
      </c>
      <c r="L47">
        <v>24</v>
      </c>
      <c r="M47">
        <v>2</v>
      </c>
      <c r="N47">
        <v>97</v>
      </c>
      <c r="P47" t="s">
        <v>60</v>
      </c>
      <c r="Q47">
        <v>0</v>
      </c>
      <c r="R47" t="s">
        <v>61</v>
      </c>
      <c r="T47" t="s">
        <v>192</v>
      </c>
      <c r="U47">
        <v>24</v>
      </c>
      <c r="V47" t="s">
        <v>175</v>
      </c>
      <c r="W47">
        <v>96</v>
      </c>
      <c r="Y47" t="s">
        <v>60</v>
      </c>
      <c r="Z47">
        <v>2.5</v>
      </c>
      <c r="AA47" t="s">
        <v>61</v>
      </c>
      <c r="AC47" t="s">
        <v>195</v>
      </c>
      <c r="AD47">
        <v>22</v>
      </c>
      <c r="AE47" t="s">
        <v>175</v>
      </c>
      <c r="AF47">
        <v>89</v>
      </c>
      <c r="AH47" t="s">
        <v>63</v>
      </c>
      <c r="AI47">
        <v>0</v>
      </c>
      <c r="AJ47" t="s">
        <v>64</v>
      </c>
      <c r="AL47" s="1" t="s">
        <v>223</v>
      </c>
      <c r="AM47">
        <v>0</v>
      </c>
      <c r="AN47">
        <v>97</v>
      </c>
      <c r="AO47" s="1" t="s">
        <v>221</v>
      </c>
      <c r="AP47" t="s">
        <v>227</v>
      </c>
    </row>
    <row r="48" spans="1:42" x14ac:dyDescent="0.2">
      <c r="A48" s="1" t="s">
        <v>228</v>
      </c>
      <c r="B48" t="s">
        <v>229</v>
      </c>
      <c r="C48">
        <v>20</v>
      </c>
      <c r="D48">
        <v>2</v>
      </c>
      <c r="E48">
        <v>96</v>
      </c>
      <c r="G48" t="s">
        <v>63</v>
      </c>
      <c r="H48">
        <v>85.5</v>
      </c>
      <c r="I48" t="s">
        <v>61</v>
      </c>
      <c r="K48" t="s">
        <v>226</v>
      </c>
      <c r="L48">
        <v>22</v>
      </c>
      <c r="M48">
        <v>2</v>
      </c>
      <c r="N48">
        <v>85</v>
      </c>
      <c r="P48" t="s">
        <v>60</v>
      </c>
      <c r="Q48">
        <v>1</v>
      </c>
      <c r="R48" t="s">
        <v>61</v>
      </c>
      <c r="T48" t="s">
        <v>195</v>
      </c>
      <c r="U48">
        <v>22</v>
      </c>
      <c r="V48" t="s">
        <v>175</v>
      </c>
      <c r="W48">
        <v>93</v>
      </c>
      <c r="Y48" t="s">
        <v>63</v>
      </c>
      <c r="Z48">
        <v>85.5</v>
      </c>
      <c r="AA48" t="s">
        <v>64</v>
      </c>
      <c r="AC48" t="s">
        <v>198</v>
      </c>
      <c r="AD48">
        <v>20</v>
      </c>
      <c r="AE48" t="s">
        <v>175</v>
      </c>
      <c r="AF48">
        <v>102</v>
      </c>
      <c r="AH48" t="s">
        <v>63</v>
      </c>
      <c r="AI48">
        <v>0.5</v>
      </c>
      <c r="AJ48" t="s">
        <v>61</v>
      </c>
      <c r="AL48" s="1" t="s">
        <v>230</v>
      </c>
      <c r="AM48">
        <v>1</v>
      </c>
      <c r="AN48">
        <v>85</v>
      </c>
      <c r="AO48" s="1" t="s">
        <v>226</v>
      </c>
      <c r="AP48" t="s">
        <v>231</v>
      </c>
    </row>
    <row r="49" spans="1:42" x14ac:dyDescent="0.2">
      <c r="A49" s="1" t="s">
        <v>232</v>
      </c>
      <c r="B49" t="s">
        <v>201</v>
      </c>
      <c r="C49">
        <v>18</v>
      </c>
      <c r="D49" t="s">
        <v>175</v>
      </c>
      <c r="E49">
        <v>107</v>
      </c>
      <c r="G49" t="s">
        <v>63</v>
      </c>
      <c r="H49">
        <v>2.5</v>
      </c>
      <c r="I49" t="s">
        <v>61</v>
      </c>
      <c r="K49" t="s">
        <v>198</v>
      </c>
      <c r="L49">
        <v>20</v>
      </c>
      <c r="M49" t="s">
        <v>175</v>
      </c>
      <c r="N49">
        <v>91</v>
      </c>
      <c r="P49" t="s">
        <v>63</v>
      </c>
      <c r="Q49">
        <v>86.5</v>
      </c>
      <c r="R49" t="s">
        <v>64</v>
      </c>
      <c r="T49" t="s">
        <v>229</v>
      </c>
      <c r="U49">
        <v>20</v>
      </c>
      <c r="V49">
        <v>2</v>
      </c>
      <c r="W49">
        <v>84</v>
      </c>
      <c r="Y49" t="s">
        <v>60</v>
      </c>
      <c r="Z49">
        <v>3.5</v>
      </c>
      <c r="AA49" t="s">
        <v>61</v>
      </c>
      <c r="AB49">
        <v>34</v>
      </c>
      <c r="AC49" t="s">
        <v>233</v>
      </c>
      <c r="AD49">
        <v>18</v>
      </c>
      <c r="AE49">
        <v>2</v>
      </c>
      <c r="AF49">
        <v>99</v>
      </c>
      <c r="AH49" t="s">
        <v>63</v>
      </c>
      <c r="AI49">
        <v>83</v>
      </c>
      <c r="AJ49" t="s">
        <v>61</v>
      </c>
      <c r="AL49" s="1" t="s">
        <v>234</v>
      </c>
      <c r="AM49">
        <v>178</v>
      </c>
      <c r="AN49">
        <v>107</v>
      </c>
      <c r="AO49" s="1" t="s">
        <v>201</v>
      </c>
      <c r="AP49" t="s">
        <v>235</v>
      </c>
    </row>
    <row r="50" spans="1:42" x14ac:dyDescent="0.2">
      <c r="A50" s="1" t="s">
        <v>236</v>
      </c>
      <c r="B50" t="s">
        <v>204</v>
      </c>
      <c r="C50">
        <v>16</v>
      </c>
      <c r="D50" t="s">
        <v>175</v>
      </c>
      <c r="E50">
        <v>96</v>
      </c>
      <c r="G50" t="s">
        <v>63</v>
      </c>
      <c r="H50">
        <v>1</v>
      </c>
      <c r="I50" t="s">
        <v>64</v>
      </c>
      <c r="K50" t="s">
        <v>237</v>
      </c>
      <c r="L50">
        <v>16</v>
      </c>
      <c r="M50">
        <v>2</v>
      </c>
      <c r="N50">
        <v>92</v>
      </c>
      <c r="P50" t="s">
        <v>63</v>
      </c>
      <c r="Q50">
        <v>89</v>
      </c>
      <c r="R50" t="s">
        <v>61</v>
      </c>
      <c r="T50" t="s">
        <v>233</v>
      </c>
      <c r="U50">
        <v>18</v>
      </c>
      <c r="V50">
        <v>2</v>
      </c>
      <c r="W50">
        <v>91</v>
      </c>
      <c r="Y50" t="s">
        <v>60</v>
      </c>
      <c r="Z50">
        <v>2</v>
      </c>
      <c r="AA50" t="s">
        <v>64</v>
      </c>
      <c r="AC50" t="s">
        <v>201</v>
      </c>
      <c r="AD50">
        <v>18</v>
      </c>
      <c r="AE50" t="s">
        <v>175</v>
      </c>
      <c r="AF50">
        <v>97</v>
      </c>
      <c r="AH50" t="s">
        <v>60</v>
      </c>
      <c r="AI50">
        <v>86</v>
      </c>
      <c r="AJ50" t="s">
        <v>64</v>
      </c>
      <c r="AP50" t="s">
        <v>238</v>
      </c>
    </row>
    <row r="51" spans="1:42" x14ac:dyDescent="0.2">
      <c r="A51" s="1" t="s">
        <v>239</v>
      </c>
      <c r="B51" t="s">
        <v>207</v>
      </c>
      <c r="C51">
        <v>14</v>
      </c>
      <c r="D51" t="s">
        <v>175</v>
      </c>
      <c r="E51">
        <v>93</v>
      </c>
      <c r="G51" t="s">
        <v>63</v>
      </c>
      <c r="H51">
        <v>2</v>
      </c>
      <c r="I51" t="s">
        <v>61</v>
      </c>
      <c r="K51" t="s">
        <v>204</v>
      </c>
      <c r="L51">
        <v>16</v>
      </c>
      <c r="M51" t="s">
        <v>175</v>
      </c>
      <c r="N51">
        <v>92</v>
      </c>
      <c r="P51" t="s">
        <v>63</v>
      </c>
      <c r="Q51">
        <v>89</v>
      </c>
      <c r="R51" t="s">
        <v>64</v>
      </c>
      <c r="T51" t="s">
        <v>237</v>
      </c>
      <c r="U51">
        <v>16</v>
      </c>
      <c r="V51">
        <v>2</v>
      </c>
      <c r="W51">
        <v>92</v>
      </c>
      <c r="Y51" t="s">
        <v>60</v>
      </c>
      <c r="Z51">
        <v>2.5</v>
      </c>
      <c r="AA51" t="s">
        <v>61</v>
      </c>
      <c r="AC51" t="s">
        <v>240</v>
      </c>
      <c r="AD51">
        <v>14</v>
      </c>
      <c r="AE51">
        <v>2</v>
      </c>
      <c r="AF51">
        <v>96</v>
      </c>
      <c r="AH51" t="s">
        <v>675</v>
      </c>
      <c r="AI51">
        <v>88.5</v>
      </c>
      <c r="AJ51" t="s">
        <v>61</v>
      </c>
      <c r="AP51" t="s">
        <v>241</v>
      </c>
    </row>
    <row r="52" spans="1:42" x14ac:dyDescent="0.2">
      <c r="A52" s="1" t="s">
        <v>242</v>
      </c>
      <c r="B52" t="s">
        <v>207</v>
      </c>
      <c r="C52">
        <v>14</v>
      </c>
      <c r="D52" t="s">
        <v>175</v>
      </c>
      <c r="E52">
        <v>87</v>
      </c>
      <c r="F52">
        <v>88</v>
      </c>
      <c r="K52" t="s">
        <v>240</v>
      </c>
      <c r="L52">
        <v>14</v>
      </c>
      <c r="M52">
        <v>2</v>
      </c>
      <c r="N52">
        <v>92</v>
      </c>
      <c r="O52">
        <v>185</v>
      </c>
      <c r="S52">
        <v>26</v>
      </c>
      <c r="T52" t="s">
        <v>243</v>
      </c>
      <c r="U52">
        <v>12</v>
      </c>
      <c r="V52">
        <v>2</v>
      </c>
      <c r="W52">
        <v>103</v>
      </c>
      <c r="X52">
        <v>271</v>
      </c>
      <c r="AB52">
        <v>22</v>
      </c>
      <c r="AC52" t="s">
        <v>210</v>
      </c>
      <c r="AD52">
        <v>12</v>
      </c>
      <c r="AE52" t="s">
        <v>175</v>
      </c>
      <c r="AF52">
        <v>99</v>
      </c>
      <c r="AG52">
        <v>356</v>
      </c>
      <c r="AL52" s="1" t="s">
        <v>244</v>
      </c>
      <c r="AM52">
        <v>268</v>
      </c>
      <c r="AN52">
        <v>87</v>
      </c>
      <c r="AO52" s="1" t="s">
        <v>207</v>
      </c>
      <c r="AP52" t="s">
        <v>245</v>
      </c>
    </row>
    <row r="53" spans="1:42" x14ac:dyDescent="0.2">
      <c r="A53" s="1" t="s">
        <v>246</v>
      </c>
      <c r="B53" t="s">
        <v>210</v>
      </c>
      <c r="C53">
        <v>12</v>
      </c>
      <c r="D53" t="s">
        <v>175</v>
      </c>
      <c r="E53">
        <v>96</v>
      </c>
      <c r="F53">
        <v>91</v>
      </c>
      <c r="K53" t="s">
        <v>243</v>
      </c>
      <c r="L53">
        <v>12</v>
      </c>
      <c r="M53">
        <v>2</v>
      </c>
      <c r="N53">
        <v>95</v>
      </c>
      <c r="O53">
        <v>180</v>
      </c>
      <c r="S53">
        <v>30</v>
      </c>
      <c r="T53" t="s">
        <v>247</v>
      </c>
      <c r="U53">
        <v>10</v>
      </c>
      <c r="V53">
        <v>2</v>
      </c>
      <c r="W53">
        <v>96</v>
      </c>
      <c r="X53">
        <v>269</v>
      </c>
      <c r="AB53">
        <v>29</v>
      </c>
      <c r="AC53" t="s">
        <v>214</v>
      </c>
      <c r="AD53">
        <v>10</v>
      </c>
      <c r="AE53" t="s">
        <v>175</v>
      </c>
      <c r="AF53">
        <v>93</v>
      </c>
      <c r="AG53">
        <v>137</v>
      </c>
      <c r="AK53">
        <v>24</v>
      </c>
      <c r="AL53" s="1" t="s">
        <v>248</v>
      </c>
      <c r="AM53">
        <v>0</v>
      </c>
      <c r="AN53">
        <v>95</v>
      </c>
      <c r="AO53" s="1" t="s">
        <v>243</v>
      </c>
      <c r="AP53" t="s">
        <v>249</v>
      </c>
    </row>
    <row r="54" spans="1:42" x14ac:dyDescent="0.2">
      <c r="A54" s="1" t="s">
        <v>250</v>
      </c>
      <c r="B54" t="s">
        <v>214</v>
      </c>
      <c r="C54">
        <v>10</v>
      </c>
      <c r="D54" t="s">
        <v>175</v>
      </c>
      <c r="E54">
        <v>96</v>
      </c>
      <c r="F54">
        <v>84</v>
      </c>
      <c r="K54" t="s">
        <v>247</v>
      </c>
      <c r="L54">
        <v>10</v>
      </c>
      <c r="M54">
        <v>2</v>
      </c>
      <c r="N54">
        <v>86</v>
      </c>
      <c r="O54">
        <v>179</v>
      </c>
      <c r="S54">
        <v>28</v>
      </c>
      <c r="AL54" s="1" t="s">
        <v>251</v>
      </c>
      <c r="AM54">
        <v>264</v>
      </c>
      <c r="AN54">
        <v>96</v>
      </c>
      <c r="AP54" t="s">
        <v>252</v>
      </c>
    </row>
    <row r="55" spans="1:42" x14ac:dyDescent="0.2">
      <c r="A55" s="1" t="s">
        <v>253</v>
      </c>
      <c r="B55" t="s">
        <v>222</v>
      </c>
      <c r="C55">
        <v>26</v>
      </c>
      <c r="D55">
        <v>2</v>
      </c>
      <c r="E55">
        <v>91</v>
      </c>
      <c r="F55">
        <v>177</v>
      </c>
      <c r="K55" t="s">
        <v>254</v>
      </c>
      <c r="L55">
        <v>26</v>
      </c>
      <c r="M55">
        <v>4</v>
      </c>
      <c r="N55">
        <v>101</v>
      </c>
      <c r="O55">
        <v>179</v>
      </c>
      <c r="T55" t="s">
        <v>255</v>
      </c>
      <c r="U55">
        <v>24</v>
      </c>
      <c r="V55">
        <v>4</v>
      </c>
      <c r="W55">
        <v>94</v>
      </c>
      <c r="X55">
        <v>265</v>
      </c>
      <c r="AC55" t="s">
        <v>221</v>
      </c>
      <c r="AD55">
        <v>24</v>
      </c>
      <c r="AE55">
        <v>2</v>
      </c>
      <c r="AF55">
        <v>87</v>
      </c>
      <c r="AG55">
        <v>358</v>
      </c>
      <c r="AP55" t="s">
        <v>256</v>
      </c>
    </row>
    <row r="56" spans="1:42" x14ac:dyDescent="0.2">
      <c r="A56" s="1" t="s">
        <v>257</v>
      </c>
      <c r="B56" t="s">
        <v>221</v>
      </c>
      <c r="C56">
        <v>24</v>
      </c>
      <c r="D56">
        <v>2</v>
      </c>
      <c r="E56">
        <v>117</v>
      </c>
      <c r="F56">
        <v>93</v>
      </c>
      <c r="K56" t="s">
        <v>255</v>
      </c>
      <c r="L56">
        <v>24</v>
      </c>
      <c r="M56">
        <v>4</v>
      </c>
      <c r="N56">
        <v>103</v>
      </c>
      <c r="O56">
        <v>166</v>
      </c>
      <c r="T56" t="s">
        <v>258</v>
      </c>
      <c r="U56">
        <v>22</v>
      </c>
      <c r="V56">
        <v>4</v>
      </c>
      <c r="W56">
        <v>68</v>
      </c>
      <c r="X56">
        <v>264</v>
      </c>
      <c r="AC56" t="s">
        <v>226</v>
      </c>
      <c r="AD56">
        <v>22</v>
      </c>
      <c r="AE56">
        <v>2</v>
      </c>
      <c r="AF56">
        <v>92</v>
      </c>
      <c r="AG56">
        <v>12</v>
      </c>
      <c r="AP56" t="s">
        <v>259</v>
      </c>
    </row>
    <row r="57" spans="1:42" x14ac:dyDescent="0.2">
      <c r="A57" s="1" t="s">
        <v>260</v>
      </c>
      <c r="B57" t="s">
        <v>226</v>
      </c>
      <c r="C57">
        <v>22</v>
      </c>
      <c r="D57">
        <v>2</v>
      </c>
      <c r="E57">
        <v>75</v>
      </c>
      <c r="F57">
        <v>92</v>
      </c>
      <c r="K57" t="s">
        <v>229</v>
      </c>
      <c r="L57">
        <v>20</v>
      </c>
      <c r="M57">
        <v>2</v>
      </c>
      <c r="N57">
        <v>92</v>
      </c>
      <c r="O57">
        <v>348</v>
      </c>
      <c r="T57" t="s">
        <v>258</v>
      </c>
      <c r="U57">
        <v>22</v>
      </c>
      <c r="V57">
        <v>4</v>
      </c>
      <c r="W57">
        <v>99</v>
      </c>
      <c r="X57">
        <v>190</v>
      </c>
      <c r="AC57" t="s">
        <v>261</v>
      </c>
      <c r="AD57">
        <v>20</v>
      </c>
      <c r="AE57">
        <v>4</v>
      </c>
      <c r="AF57">
        <v>111</v>
      </c>
      <c r="AG57">
        <v>267</v>
      </c>
      <c r="AL57" s="1" t="s">
        <v>262</v>
      </c>
      <c r="AM57">
        <v>10</v>
      </c>
      <c r="AN57">
        <v>99</v>
      </c>
      <c r="AP57" t="s">
        <v>263</v>
      </c>
    </row>
    <row r="58" spans="1:42" x14ac:dyDescent="0.2">
      <c r="A58" s="1" t="s">
        <v>264</v>
      </c>
      <c r="B58" t="s">
        <v>261</v>
      </c>
      <c r="C58">
        <v>20</v>
      </c>
      <c r="D58">
        <v>4</v>
      </c>
      <c r="E58">
        <v>91</v>
      </c>
      <c r="F58">
        <v>183</v>
      </c>
      <c r="J58">
        <v>26</v>
      </c>
      <c r="K58" t="s">
        <v>229</v>
      </c>
      <c r="L58">
        <v>20</v>
      </c>
      <c r="M58">
        <v>2</v>
      </c>
      <c r="N58">
        <v>87</v>
      </c>
      <c r="O58">
        <v>87</v>
      </c>
      <c r="T58" t="s">
        <v>265</v>
      </c>
      <c r="U58">
        <v>18</v>
      </c>
      <c r="V58">
        <v>4</v>
      </c>
      <c r="W58">
        <v>102</v>
      </c>
      <c r="X58">
        <v>272</v>
      </c>
      <c r="AC58" t="s">
        <v>233</v>
      </c>
      <c r="AD58">
        <v>18</v>
      </c>
      <c r="AE58">
        <v>2</v>
      </c>
      <c r="AF58">
        <v>102</v>
      </c>
      <c r="AG58">
        <v>356</v>
      </c>
      <c r="AK58">
        <v>28</v>
      </c>
      <c r="AL58" s="1" t="s">
        <v>266</v>
      </c>
      <c r="AM58">
        <v>267</v>
      </c>
      <c r="AN58">
        <v>87</v>
      </c>
      <c r="AP58" t="s">
        <v>267</v>
      </c>
    </row>
    <row r="59" spans="1:42" x14ac:dyDescent="0.2">
      <c r="A59" s="1" t="s">
        <v>268</v>
      </c>
      <c r="B59" t="s">
        <v>265</v>
      </c>
      <c r="C59">
        <v>18</v>
      </c>
      <c r="D59">
        <v>4</v>
      </c>
      <c r="E59">
        <v>94</v>
      </c>
      <c r="F59">
        <v>180</v>
      </c>
      <c r="J59">
        <v>32</v>
      </c>
      <c r="K59" t="s">
        <v>233</v>
      </c>
      <c r="L59">
        <v>18</v>
      </c>
      <c r="M59">
        <v>2</v>
      </c>
      <c r="N59">
        <v>97</v>
      </c>
      <c r="O59">
        <v>86</v>
      </c>
      <c r="T59" t="s">
        <v>237</v>
      </c>
      <c r="U59">
        <v>16</v>
      </c>
      <c r="V59">
        <v>2</v>
      </c>
      <c r="W59">
        <v>100</v>
      </c>
      <c r="X59">
        <v>6</v>
      </c>
      <c r="AB59">
        <v>22</v>
      </c>
      <c r="AC59" t="s">
        <v>269</v>
      </c>
      <c r="AD59">
        <v>16</v>
      </c>
      <c r="AE59">
        <v>4</v>
      </c>
      <c r="AF59">
        <v>96</v>
      </c>
      <c r="AG59">
        <v>271</v>
      </c>
      <c r="AK59">
        <v>28</v>
      </c>
      <c r="AL59" s="1" t="s">
        <v>270</v>
      </c>
      <c r="AM59">
        <v>91</v>
      </c>
      <c r="AN59">
        <v>93</v>
      </c>
      <c r="AP59" t="s">
        <v>271</v>
      </c>
    </row>
    <row r="60" spans="1:42" x14ac:dyDescent="0.2">
      <c r="A60" s="1" t="s">
        <v>272</v>
      </c>
      <c r="B60" t="s">
        <v>269</v>
      </c>
      <c r="C60">
        <v>16</v>
      </c>
      <c r="D60">
        <v>4</v>
      </c>
      <c r="E60">
        <v>91</v>
      </c>
      <c r="F60">
        <v>174</v>
      </c>
      <c r="J60">
        <v>30</v>
      </c>
      <c r="K60" t="s">
        <v>273</v>
      </c>
      <c r="L60">
        <v>14</v>
      </c>
      <c r="M60">
        <v>4</v>
      </c>
      <c r="N60">
        <v>92</v>
      </c>
      <c r="O60">
        <v>271</v>
      </c>
      <c r="S60">
        <v>44</v>
      </c>
      <c r="T60" t="s">
        <v>240</v>
      </c>
      <c r="U60">
        <v>14</v>
      </c>
      <c r="V60">
        <v>2</v>
      </c>
      <c r="W60">
        <v>106</v>
      </c>
      <c r="X60">
        <v>4</v>
      </c>
      <c r="AB60">
        <v>25</v>
      </c>
      <c r="AC60" t="s">
        <v>237</v>
      </c>
      <c r="AD60">
        <v>16</v>
      </c>
      <c r="AE60">
        <v>2</v>
      </c>
      <c r="AF60">
        <v>103</v>
      </c>
      <c r="AG60">
        <v>86</v>
      </c>
      <c r="AK60">
        <v>24</v>
      </c>
      <c r="AL60" s="1" t="s">
        <v>274</v>
      </c>
      <c r="AM60">
        <v>266</v>
      </c>
      <c r="AN60">
        <v>100</v>
      </c>
      <c r="AP60" t="s">
        <v>275</v>
      </c>
    </row>
    <row r="61" spans="1:42" x14ac:dyDescent="0.2">
      <c r="A61" s="1" t="s">
        <v>276</v>
      </c>
      <c r="B61" t="s">
        <v>243</v>
      </c>
      <c r="C61">
        <v>12</v>
      </c>
      <c r="D61">
        <v>2</v>
      </c>
      <c r="E61">
        <v>86</v>
      </c>
      <c r="F61">
        <v>351</v>
      </c>
      <c r="J61">
        <v>30</v>
      </c>
      <c r="K61" t="s">
        <v>240</v>
      </c>
      <c r="L61">
        <v>14</v>
      </c>
      <c r="M61">
        <v>2</v>
      </c>
      <c r="N61">
        <v>85</v>
      </c>
      <c r="O61">
        <v>99</v>
      </c>
      <c r="S61">
        <v>30</v>
      </c>
      <c r="AL61" s="1" t="s">
        <v>277</v>
      </c>
      <c r="AM61">
        <v>279</v>
      </c>
      <c r="AN61">
        <v>82</v>
      </c>
      <c r="AP61" t="s">
        <v>278</v>
      </c>
    </row>
    <row r="62" spans="1:42" x14ac:dyDescent="0.2">
      <c r="A62" s="1" t="s">
        <v>279</v>
      </c>
      <c r="B62" t="s">
        <v>280</v>
      </c>
      <c r="C62">
        <v>12</v>
      </c>
      <c r="D62">
        <v>4</v>
      </c>
      <c r="E62">
        <v>96</v>
      </c>
      <c r="F62">
        <v>185</v>
      </c>
      <c r="J62">
        <v>40</v>
      </c>
      <c r="K62" t="s">
        <v>243</v>
      </c>
      <c r="L62">
        <v>10</v>
      </c>
      <c r="M62">
        <v>2</v>
      </c>
      <c r="N62">
        <v>106</v>
      </c>
      <c r="O62">
        <v>355</v>
      </c>
      <c r="S62">
        <v>32</v>
      </c>
      <c r="AL62" s="1" t="s">
        <v>281</v>
      </c>
      <c r="AM62">
        <v>175</v>
      </c>
      <c r="AN62">
        <v>101</v>
      </c>
      <c r="AP62" t="s">
        <v>282</v>
      </c>
    </row>
    <row r="63" spans="1:42" x14ac:dyDescent="0.2">
      <c r="A63" s="1" t="s">
        <v>283</v>
      </c>
      <c r="B63" t="s">
        <v>284</v>
      </c>
      <c r="C63">
        <v>26</v>
      </c>
      <c r="D63">
        <v>6</v>
      </c>
      <c r="E63">
        <v>95</v>
      </c>
      <c r="F63">
        <v>266</v>
      </c>
      <c r="K63" t="s">
        <v>254</v>
      </c>
      <c r="L63">
        <v>26</v>
      </c>
      <c r="M63">
        <v>4</v>
      </c>
      <c r="N63">
        <v>90</v>
      </c>
      <c r="O63">
        <v>0</v>
      </c>
      <c r="T63" t="s">
        <v>285</v>
      </c>
      <c r="U63">
        <v>28</v>
      </c>
      <c r="V63">
        <v>4</v>
      </c>
      <c r="W63">
        <v>93</v>
      </c>
      <c r="X63">
        <v>91</v>
      </c>
      <c r="AC63" t="s">
        <v>286</v>
      </c>
      <c r="AD63">
        <v>28</v>
      </c>
      <c r="AE63">
        <v>6</v>
      </c>
      <c r="AF63">
        <v>95</v>
      </c>
      <c r="AG63">
        <v>180</v>
      </c>
      <c r="AP63" t="s">
        <v>287</v>
      </c>
    </row>
    <row r="64" spans="1:42" x14ac:dyDescent="0.2">
      <c r="A64" s="1" t="s">
        <v>288</v>
      </c>
      <c r="B64" t="s">
        <v>289</v>
      </c>
      <c r="C64">
        <v>24</v>
      </c>
      <c r="D64">
        <v>6</v>
      </c>
      <c r="E64">
        <v>94</v>
      </c>
      <c r="F64">
        <v>269</v>
      </c>
      <c r="K64" t="s">
        <v>255</v>
      </c>
      <c r="L64">
        <v>24</v>
      </c>
      <c r="M64">
        <v>4</v>
      </c>
      <c r="N64">
        <v>84</v>
      </c>
      <c r="O64">
        <v>359</v>
      </c>
      <c r="T64" t="s">
        <v>254</v>
      </c>
      <c r="U64">
        <v>26</v>
      </c>
      <c r="V64">
        <v>4</v>
      </c>
      <c r="W64">
        <v>95</v>
      </c>
      <c r="X64">
        <v>91</v>
      </c>
      <c r="AC64" t="s">
        <v>284</v>
      </c>
      <c r="AD64">
        <v>26</v>
      </c>
      <c r="AE64">
        <v>6</v>
      </c>
      <c r="AF64">
        <v>94</v>
      </c>
      <c r="AG64">
        <v>181</v>
      </c>
      <c r="AP64" t="s">
        <v>290</v>
      </c>
    </row>
    <row r="65" spans="1:42" x14ac:dyDescent="0.2">
      <c r="A65" s="1" t="s">
        <v>291</v>
      </c>
      <c r="B65" t="s">
        <v>292</v>
      </c>
      <c r="C65">
        <v>22</v>
      </c>
      <c r="D65">
        <v>6</v>
      </c>
      <c r="E65">
        <v>85</v>
      </c>
      <c r="F65">
        <v>267</v>
      </c>
      <c r="K65" t="s">
        <v>258</v>
      </c>
      <c r="L65">
        <v>22</v>
      </c>
      <c r="M65">
        <v>4</v>
      </c>
      <c r="N65">
        <v>91</v>
      </c>
      <c r="O65">
        <v>5</v>
      </c>
      <c r="T65" t="s">
        <v>255</v>
      </c>
      <c r="U65">
        <v>24</v>
      </c>
      <c r="V65">
        <v>4</v>
      </c>
      <c r="W65">
        <v>103</v>
      </c>
      <c r="X65">
        <v>93</v>
      </c>
      <c r="AC65" t="s">
        <v>289</v>
      </c>
      <c r="AD65">
        <v>24</v>
      </c>
      <c r="AE65">
        <v>6</v>
      </c>
      <c r="AF65">
        <v>96</v>
      </c>
      <c r="AG65">
        <v>175</v>
      </c>
      <c r="AP65" t="s">
        <v>293</v>
      </c>
    </row>
    <row r="66" spans="1:42" x14ac:dyDescent="0.2">
      <c r="A66" s="1" t="s">
        <v>294</v>
      </c>
      <c r="B66" t="s">
        <v>295</v>
      </c>
      <c r="C66">
        <v>20</v>
      </c>
      <c r="D66">
        <v>6</v>
      </c>
      <c r="E66">
        <v>106</v>
      </c>
      <c r="F66">
        <v>275</v>
      </c>
      <c r="K66" t="s">
        <v>261</v>
      </c>
      <c r="L66">
        <v>20</v>
      </c>
      <c r="M66">
        <v>4</v>
      </c>
      <c r="N66">
        <v>105</v>
      </c>
      <c r="O66">
        <v>354</v>
      </c>
      <c r="T66" t="s">
        <v>258</v>
      </c>
      <c r="U66">
        <v>22</v>
      </c>
      <c r="V66">
        <v>4</v>
      </c>
      <c r="W66">
        <v>85</v>
      </c>
      <c r="X66">
        <v>83</v>
      </c>
      <c r="AC66" t="s">
        <v>292</v>
      </c>
      <c r="AD66">
        <v>22</v>
      </c>
      <c r="AE66">
        <v>6</v>
      </c>
      <c r="AF66">
        <v>83</v>
      </c>
      <c r="AG66">
        <v>187</v>
      </c>
      <c r="AP66" t="s">
        <v>296</v>
      </c>
    </row>
    <row r="67" spans="1:42" x14ac:dyDescent="0.2">
      <c r="A67" s="1" t="s">
        <v>297</v>
      </c>
      <c r="B67" t="s">
        <v>265</v>
      </c>
      <c r="C67">
        <v>18</v>
      </c>
      <c r="D67">
        <v>4</v>
      </c>
      <c r="E67">
        <v>109</v>
      </c>
      <c r="F67">
        <v>2</v>
      </c>
      <c r="J67">
        <v>28</v>
      </c>
      <c r="K67" t="s">
        <v>261</v>
      </c>
      <c r="L67">
        <v>20</v>
      </c>
      <c r="M67">
        <v>4</v>
      </c>
      <c r="N67">
        <v>104</v>
      </c>
      <c r="O67">
        <v>81</v>
      </c>
      <c r="S67">
        <v>28</v>
      </c>
      <c r="T67" t="s">
        <v>295</v>
      </c>
      <c r="U67">
        <v>20</v>
      </c>
      <c r="V67">
        <v>6</v>
      </c>
      <c r="W67">
        <v>79</v>
      </c>
      <c r="X67">
        <v>6</v>
      </c>
      <c r="AC67" t="s">
        <v>298</v>
      </c>
      <c r="AD67">
        <v>18</v>
      </c>
      <c r="AE67">
        <v>6</v>
      </c>
      <c r="AF67">
        <v>93</v>
      </c>
      <c r="AG67">
        <v>278</v>
      </c>
      <c r="AK67">
        <v>30</v>
      </c>
      <c r="AL67" s="1" t="s">
        <v>299</v>
      </c>
      <c r="AM67">
        <v>98</v>
      </c>
      <c r="AN67">
        <v>89</v>
      </c>
      <c r="AP67" t="s">
        <v>300</v>
      </c>
    </row>
    <row r="68" spans="1:42" x14ac:dyDescent="0.2">
      <c r="A68" s="1" t="s">
        <v>301</v>
      </c>
      <c r="B68" t="s">
        <v>269</v>
      </c>
      <c r="C68">
        <v>16</v>
      </c>
      <c r="D68">
        <v>4</v>
      </c>
      <c r="E68">
        <v>100</v>
      </c>
      <c r="F68">
        <v>2</v>
      </c>
      <c r="J68">
        <v>26</v>
      </c>
      <c r="K68" t="s">
        <v>302</v>
      </c>
      <c r="L68">
        <v>16</v>
      </c>
      <c r="M68">
        <v>6</v>
      </c>
      <c r="N68">
        <v>97</v>
      </c>
      <c r="O68">
        <v>269</v>
      </c>
      <c r="S68">
        <v>28</v>
      </c>
      <c r="T68" t="s">
        <v>298</v>
      </c>
      <c r="U68">
        <v>18</v>
      </c>
      <c r="V68">
        <v>6</v>
      </c>
      <c r="W68">
        <v>93</v>
      </c>
      <c r="X68">
        <v>178</v>
      </c>
      <c r="AB68">
        <v>26</v>
      </c>
      <c r="AC68" t="s">
        <v>265</v>
      </c>
      <c r="AD68">
        <v>18</v>
      </c>
      <c r="AE68">
        <v>4</v>
      </c>
      <c r="AF68">
        <v>103</v>
      </c>
      <c r="AG68">
        <v>78</v>
      </c>
      <c r="AK68">
        <v>36</v>
      </c>
      <c r="AL68" s="1" t="s">
        <v>299</v>
      </c>
      <c r="AM68">
        <v>358</v>
      </c>
      <c r="AN68">
        <v>90</v>
      </c>
      <c r="AP68" t="s">
        <v>303</v>
      </c>
    </row>
    <row r="69" spans="1:42" x14ac:dyDescent="0.2">
      <c r="A69" s="1" t="s">
        <v>304</v>
      </c>
      <c r="B69" t="s">
        <v>273</v>
      </c>
      <c r="C69">
        <v>14</v>
      </c>
      <c r="D69">
        <v>4</v>
      </c>
      <c r="E69">
        <v>86</v>
      </c>
      <c r="F69">
        <v>355</v>
      </c>
      <c r="K69" t="s">
        <v>305</v>
      </c>
      <c r="L69">
        <v>14</v>
      </c>
      <c r="M69">
        <v>6</v>
      </c>
      <c r="N69">
        <v>106</v>
      </c>
      <c r="O69">
        <v>264</v>
      </c>
      <c r="S69">
        <v>27</v>
      </c>
      <c r="T69" t="s">
        <v>302</v>
      </c>
      <c r="U69">
        <v>16</v>
      </c>
      <c r="V69">
        <v>6</v>
      </c>
      <c r="W69">
        <v>106</v>
      </c>
      <c r="X69">
        <v>185</v>
      </c>
      <c r="AB69">
        <v>28</v>
      </c>
      <c r="AC69" t="s">
        <v>269</v>
      </c>
      <c r="AD69">
        <v>16</v>
      </c>
      <c r="AE69">
        <v>4</v>
      </c>
      <c r="AF69">
        <v>92</v>
      </c>
      <c r="AG69">
        <v>175</v>
      </c>
      <c r="AK69">
        <v>27</v>
      </c>
      <c r="AL69" s="1" t="s">
        <v>306</v>
      </c>
      <c r="AM69">
        <v>175</v>
      </c>
      <c r="AN69">
        <v>86</v>
      </c>
      <c r="AP69" t="s">
        <v>307</v>
      </c>
    </row>
    <row r="70" spans="1:42" x14ac:dyDescent="0.2">
      <c r="A70" s="1" t="s">
        <v>308</v>
      </c>
      <c r="B70" t="s">
        <v>280</v>
      </c>
      <c r="C70">
        <v>12</v>
      </c>
      <c r="D70">
        <v>4</v>
      </c>
      <c r="E70">
        <v>89</v>
      </c>
      <c r="F70">
        <v>347</v>
      </c>
      <c r="J70">
        <v>20</v>
      </c>
      <c r="AP70" t="s">
        <v>309</v>
      </c>
    </row>
    <row r="71" spans="1:42" x14ac:dyDescent="0.2">
      <c r="A71" s="1" t="s">
        <v>310</v>
      </c>
      <c r="B71" t="s">
        <v>311</v>
      </c>
      <c r="C71">
        <v>12</v>
      </c>
      <c r="D71">
        <v>6</v>
      </c>
      <c r="E71">
        <v>88.5</v>
      </c>
      <c r="F71">
        <v>288</v>
      </c>
      <c r="K71" t="s">
        <v>305</v>
      </c>
      <c r="L71">
        <v>14</v>
      </c>
      <c r="M71">
        <v>6</v>
      </c>
      <c r="O71">
        <v>183</v>
      </c>
      <c r="AP71" s="2" t="s">
        <v>312</v>
      </c>
    </row>
    <row r="72" spans="1:42" x14ac:dyDescent="0.2">
      <c r="A72" s="1" t="s">
        <v>313</v>
      </c>
      <c r="B72" t="s">
        <v>314</v>
      </c>
      <c r="C72">
        <v>12</v>
      </c>
      <c r="D72">
        <v>6.18</v>
      </c>
      <c r="E72">
        <v>98</v>
      </c>
      <c r="F72">
        <v>178</v>
      </c>
      <c r="K72" t="s">
        <v>315</v>
      </c>
      <c r="L72">
        <v>10</v>
      </c>
      <c r="M72">
        <v>4</v>
      </c>
      <c r="N72">
        <v>95</v>
      </c>
      <c r="O72">
        <v>3</v>
      </c>
      <c r="S72">
        <v>30</v>
      </c>
      <c r="T72" t="s">
        <v>280</v>
      </c>
      <c r="U72">
        <v>12</v>
      </c>
      <c r="V72">
        <v>4</v>
      </c>
      <c r="W72">
        <v>105</v>
      </c>
      <c r="X72">
        <v>91</v>
      </c>
      <c r="AB72">
        <v>30</v>
      </c>
      <c r="AL72" s="1" t="s">
        <v>316</v>
      </c>
      <c r="AM72">
        <v>350</v>
      </c>
      <c r="AN72">
        <v>90</v>
      </c>
      <c r="AP72" t="s">
        <v>317</v>
      </c>
    </row>
    <row r="73" spans="1:42" x14ac:dyDescent="0.2">
      <c r="A73" s="1" t="s">
        <v>318</v>
      </c>
      <c r="B73" t="s">
        <v>286</v>
      </c>
      <c r="C73">
        <v>18</v>
      </c>
      <c r="D73">
        <v>6</v>
      </c>
      <c r="E73">
        <v>103</v>
      </c>
      <c r="F73">
        <v>87</v>
      </c>
      <c r="K73" t="s">
        <v>319</v>
      </c>
      <c r="L73">
        <v>28</v>
      </c>
      <c r="M73">
        <v>8</v>
      </c>
      <c r="N73">
        <v>90</v>
      </c>
      <c r="O73">
        <v>174</v>
      </c>
      <c r="T73" t="s">
        <v>320</v>
      </c>
      <c r="U73">
        <v>26</v>
      </c>
      <c r="V73">
        <v>8</v>
      </c>
      <c r="X73">
        <v>270</v>
      </c>
      <c r="AC73" t="s">
        <v>284</v>
      </c>
      <c r="AD73">
        <v>26</v>
      </c>
      <c r="AE73">
        <v>6</v>
      </c>
      <c r="AF73">
        <v>97</v>
      </c>
      <c r="AG73">
        <v>3</v>
      </c>
      <c r="AP73" t="s">
        <v>321</v>
      </c>
    </row>
    <row r="74" spans="1:42" x14ac:dyDescent="0.2">
      <c r="A74" s="1" t="s">
        <v>112</v>
      </c>
      <c r="B74" t="s">
        <v>284</v>
      </c>
      <c r="C74">
        <v>26</v>
      </c>
      <c r="D74">
        <v>6</v>
      </c>
      <c r="E74">
        <v>89</v>
      </c>
      <c r="F74">
        <v>93</v>
      </c>
      <c r="K74" t="s">
        <v>320</v>
      </c>
      <c r="L74">
        <v>26</v>
      </c>
      <c r="M74">
        <v>8</v>
      </c>
      <c r="N74">
        <v>99</v>
      </c>
      <c r="O74">
        <v>182</v>
      </c>
      <c r="T74" t="s">
        <v>322</v>
      </c>
      <c r="U74">
        <v>24</v>
      </c>
      <c r="V74">
        <v>8</v>
      </c>
      <c r="W74">
        <v>100</v>
      </c>
      <c r="X74">
        <v>266</v>
      </c>
      <c r="AB74">
        <v>28</v>
      </c>
      <c r="AP74" t="s">
        <v>323</v>
      </c>
    </row>
    <row r="75" spans="1:42" x14ac:dyDescent="0.2">
      <c r="A75" s="1" t="s">
        <v>324</v>
      </c>
      <c r="B75" t="s">
        <v>322</v>
      </c>
      <c r="C75">
        <v>24</v>
      </c>
      <c r="D75">
        <v>8</v>
      </c>
      <c r="E75">
        <v>92</v>
      </c>
      <c r="F75">
        <v>179</v>
      </c>
      <c r="K75" t="s">
        <v>289</v>
      </c>
      <c r="L75">
        <v>24</v>
      </c>
      <c r="M75">
        <v>6</v>
      </c>
      <c r="N75">
        <v>103</v>
      </c>
      <c r="O75">
        <v>88</v>
      </c>
      <c r="S75">
        <v>22</v>
      </c>
      <c r="T75" t="s">
        <v>325</v>
      </c>
      <c r="U75">
        <v>22</v>
      </c>
      <c r="V75">
        <v>8</v>
      </c>
      <c r="W75">
        <v>90</v>
      </c>
      <c r="X75">
        <v>271</v>
      </c>
      <c r="AB75">
        <v>26</v>
      </c>
      <c r="AC75" t="s">
        <v>292</v>
      </c>
      <c r="AD75">
        <v>22</v>
      </c>
      <c r="AE75">
        <v>6</v>
      </c>
      <c r="AF75">
        <v>97</v>
      </c>
      <c r="AG75">
        <v>2</v>
      </c>
      <c r="AL75" s="1" t="s">
        <v>326</v>
      </c>
      <c r="AM75">
        <v>181</v>
      </c>
      <c r="AN75">
        <v>96</v>
      </c>
      <c r="AP75" t="s">
        <v>327</v>
      </c>
    </row>
    <row r="76" spans="1:42" x14ac:dyDescent="0.2">
      <c r="A76" s="1" t="s">
        <v>114</v>
      </c>
      <c r="B76" t="s">
        <v>292</v>
      </c>
      <c r="C76">
        <v>22</v>
      </c>
      <c r="D76">
        <v>6</v>
      </c>
      <c r="E76">
        <v>98</v>
      </c>
      <c r="F76">
        <v>88</v>
      </c>
      <c r="J76">
        <v>25</v>
      </c>
      <c r="K76" t="s">
        <v>325</v>
      </c>
      <c r="L76">
        <v>22</v>
      </c>
      <c r="M76">
        <v>8</v>
      </c>
      <c r="N76">
        <v>91</v>
      </c>
      <c r="O76">
        <v>179</v>
      </c>
      <c r="T76" t="s">
        <v>328</v>
      </c>
      <c r="U76">
        <v>20</v>
      </c>
      <c r="V76">
        <v>8</v>
      </c>
      <c r="W76">
        <v>94</v>
      </c>
      <c r="X76">
        <v>271</v>
      </c>
      <c r="AC76" t="s">
        <v>295</v>
      </c>
      <c r="AD76">
        <v>20</v>
      </c>
      <c r="AE76">
        <v>6</v>
      </c>
      <c r="AF76">
        <v>96</v>
      </c>
      <c r="AG76">
        <v>0</v>
      </c>
      <c r="AL76" s="1" t="s">
        <v>329</v>
      </c>
      <c r="AM76">
        <v>359</v>
      </c>
      <c r="AN76">
        <v>91</v>
      </c>
      <c r="AP76" t="s">
        <v>330</v>
      </c>
    </row>
    <row r="77" spans="1:42" x14ac:dyDescent="0.2">
      <c r="A77" s="1" t="s">
        <v>331</v>
      </c>
      <c r="B77" t="s">
        <v>328</v>
      </c>
      <c r="C77">
        <v>20</v>
      </c>
      <c r="D77">
        <v>8</v>
      </c>
      <c r="E77">
        <v>95</v>
      </c>
      <c r="F77">
        <v>175</v>
      </c>
      <c r="K77" t="s">
        <v>295</v>
      </c>
      <c r="L77">
        <v>20</v>
      </c>
      <c r="M77">
        <v>6</v>
      </c>
      <c r="N77">
        <v>103</v>
      </c>
      <c r="O77">
        <v>91</v>
      </c>
      <c r="S77">
        <v>24</v>
      </c>
      <c r="T77" t="s">
        <v>332</v>
      </c>
      <c r="U77">
        <v>18</v>
      </c>
      <c r="V77">
        <v>8</v>
      </c>
      <c r="W77">
        <v>87</v>
      </c>
      <c r="X77">
        <v>267</v>
      </c>
      <c r="AC77" t="s">
        <v>298</v>
      </c>
      <c r="AD77">
        <v>18</v>
      </c>
      <c r="AE77">
        <v>6</v>
      </c>
      <c r="AF77">
        <v>91</v>
      </c>
      <c r="AG77">
        <v>3</v>
      </c>
      <c r="AL77" s="1" t="s">
        <v>333</v>
      </c>
      <c r="AM77">
        <v>355</v>
      </c>
      <c r="AN77">
        <v>95</v>
      </c>
      <c r="AP77" t="s">
        <v>334</v>
      </c>
    </row>
    <row r="78" spans="1:42" x14ac:dyDescent="0.2">
      <c r="A78" s="1" t="s">
        <v>335</v>
      </c>
      <c r="B78" t="s">
        <v>298</v>
      </c>
      <c r="C78">
        <v>18</v>
      </c>
      <c r="D78">
        <v>6</v>
      </c>
      <c r="E78">
        <v>102</v>
      </c>
      <c r="F78">
        <v>92</v>
      </c>
      <c r="K78" t="s">
        <v>336</v>
      </c>
      <c r="L78">
        <v>16</v>
      </c>
      <c r="M78">
        <v>8</v>
      </c>
      <c r="N78">
        <v>88</v>
      </c>
      <c r="O78">
        <v>258</v>
      </c>
      <c r="T78" t="s">
        <v>332</v>
      </c>
      <c r="U78">
        <v>18</v>
      </c>
      <c r="V78">
        <v>8</v>
      </c>
      <c r="W78">
        <v>97</v>
      </c>
      <c r="X78">
        <v>175</v>
      </c>
      <c r="AC78" t="s">
        <v>302</v>
      </c>
      <c r="AD78">
        <v>16</v>
      </c>
      <c r="AE78">
        <v>6</v>
      </c>
      <c r="AF78">
        <v>88</v>
      </c>
      <c r="AG78">
        <v>3</v>
      </c>
      <c r="AL78" s="1" t="s">
        <v>337</v>
      </c>
      <c r="AM78">
        <v>355</v>
      </c>
      <c r="AN78">
        <v>97</v>
      </c>
      <c r="AP78" t="s">
        <v>338</v>
      </c>
    </row>
    <row r="79" spans="1:42" x14ac:dyDescent="0.2">
      <c r="A79" s="1" t="s">
        <v>339</v>
      </c>
      <c r="B79" t="s">
        <v>305</v>
      </c>
      <c r="C79">
        <v>14</v>
      </c>
      <c r="D79">
        <v>6</v>
      </c>
      <c r="E79">
        <v>68</v>
      </c>
      <c r="F79">
        <v>347</v>
      </c>
      <c r="K79" t="s">
        <v>302</v>
      </c>
      <c r="L79">
        <v>16</v>
      </c>
      <c r="M79">
        <v>6</v>
      </c>
      <c r="N79">
        <v>84</v>
      </c>
      <c r="O79">
        <v>109</v>
      </c>
      <c r="AL79" s="1" t="s">
        <v>340</v>
      </c>
      <c r="AM79">
        <v>167</v>
      </c>
      <c r="AN79">
        <v>68</v>
      </c>
      <c r="AP79" t="s">
        <v>341</v>
      </c>
    </row>
    <row r="80" spans="1:42" x14ac:dyDescent="0.2">
      <c r="A80" s="1" t="s">
        <v>342</v>
      </c>
      <c r="B80" t="s">
        <v>320</v>
      </c>
      <c r="C80">
        <v>26</v>
      </c>
      <c r="D80">
        <v>8</v>
      </c>
      <c r="E80">
        <v>97</v>
      </c>
      <c r="F80">
        <v>5</v>
      </c>
      <c r="J80">
        <v>18</v>
      </c>
      <c r="K80" t="s">
        <v>343</v>
      </c>
      <c r="L80">
        <v>26</v>
      </c>
      <c r="M80">
        <v>10</v>
      </c>
      <c r="N80">
        <v>87</v>
      </c>
      <c r="O80">
        <v>270</v>
      </c>
      <c r="S80">
        <v>24</v>
      </c>
      <c r="T80" t="s">
        <v>344</v>
      </c>
      <c r="U80">
        <v>28</v>
      </c>
      <c r="V80">
        <v>10</v>
      </c>
      <c r="W80">
        <v>91</v>
      </c>
      <c r="X80">
        <v>173</v>
      </c>
      <c r="AB80">
        <v>14</v>
      </c>
      <c r="AP80" t="s">
        <v>345</v>
      </c>
    </row>
    <row r="81" spans="1:42" x14ac:dyDescent="0.2">
      <c r="A81" s="1" t="s">
        <v>346</v>
      </c>
      <c r="B81" t="s">
        <v>347</v>
      </c>
      <c r="C81">
        <v>24</v>
      </c>
      <c r="D81">
        <v>10</v>
      </c>
      <c r="E81">
        <v>95</v>
      </c>
      <c r="F81">
        <v>271</v>
      </c>
      <c r="J81">
        <v>20</v>
      </c>
      <c r="K81" t="s">
        <v>322</v>
      </c>
      <c r="L81">
        <v>24</v>
      </c>
      <c r="M81">
        <v>8</v>
      </c>
      <c r="N81">
        <v>96</v>
      </c>
      <c r="O81">
        <v>0</v>
      </c>
      <c r="T81" t="s">
        <v>320</v>
      </c>
      <c r="U81">
        <v>26</v>
      </c>
      <c r="V81">
        <v>8</v>
      </c>
      <c r="W81">
        <v>97</v>
      </c>
      <c r="X81">
        <v>89</v>
      </c>
      <c r="AB81">
        <v>26</v>
      </c>
      <c r="AL81" s="1" t="s">
        <v>348</v>
      </c>
      <c r="AM81">
        <v>269</v>
      </c>
      <c r="AN81">
        <v>94</v>
      </c>
      <c r="AP81" t="s">
        <v>349</v>
      </c>
    </row>
    <row r="82" spans="1:42" x14ac:dyDescent="0.2">
      <c r="A82" s="1" t="s">
        <v>350</v>
      </c>
      <c r="B82" t="s">
        <v>351</v>
      </c>
      <c r="C82">
        <v>22</v>
      </c>
      <c r="D82">
        <v>10</v>
      </c>
      <c r="E82">
        <v>104</v>
      </c>
      <c r="F82">
        <v>247</v>
      </c>
      <c r="J82">
        <v>7</v>
      </c>
      <c r="K82" t="s">
        <v>325</v>
      </c>
      <c r="L82">
        <v>22</v>
      </c>
      <c r="M82">
        <v>8</v>
      </c>
      <c r="N82">
        <v>102</v>
      </c>
      <c r="O82">
        <v>354</v>
      </c>
      <c r="T82" t="s">
        <v>322</v>
      </c>
      <c r="U82">
        <v>24</v>
      </c>
      <c r="V82">
        <v>8</v>
      </c>
      <c r="W82">
        <v>90</v>
      </c>
      <c r="X82">
        <v>85</v>
      </c>
      <c r="AB82">
        <v>24</v>
      </c>
      <c r="AL82" s="1" t="s">
        <v>329</v>
      </c>
      <c r="AM82">
        <v>174</v>
      </c>
      <c r="AN82">
        <v>102</v>
      </c>
      <c r="AP82" t="s">
        <v>352</v>
      </c>
    </row>
    <row r="83" spans="1:42" x14ac:dyDescent="0.2">
      <c r="A83" s="1" t="s">
        <v>353</v>
      </c>
      <c r="B83" t="s">
        <v>328</v>
      </c>
      <c r="C83">
        <v>20</v>
      </c>
      <c r="D83">
        <v>8</v>
      </c>
      <c r="E83">
        <v>85</v>
      </c>
      <c r="F83">
        <v>357</v>
      </c>
      <c r="K83" t="s">
        <v>351</v>
      </c>
      <c r="L83">
        <v>22</v>
      </c>
      <c r="M83">
        <v>10</v>
      </c>
      <c r="N83">
        <v>102</v>
      </c>
      <c r="O83">
        <v>183</v>
      </c>
      <c r="AL83" s="1" t="s">
        <v>333</v>
      </c>
      <c r="AM83">
        <v>177</v>
      </c>
      <c r="AN83">
        <v>85</v>
      </c>
      <c r="AP83" t="s">
        <v>354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59"/>
  <sheetViews>
    <sheetView zoomScale="120" zoomScaleNormal="120" workbookViewId="0">
      <pane ySplit="1" topLeftCell="A478" activePane="bottomLeft" state="frozen"/>
      <selection pane="bottomLeft" activeCell="K514" sqref="K514"/>
    </sheetView>
  </sheetViews>
  <sheetFormatPr defaultColWidth="11.5703125" defaultRowHeight="12.75" x14ac:dyDescent="0.2"/>
  <cols>
    <col min="1" max="1" width="11.5703125" style="1"/>
    <col min="8" max="8" width="11.5703125" style="3"/>
  </cols>
  <sheetData>
    <row r="1" spans="1:13" x14ac:dyDescent="0.2">
      <c r="A1" s="1" t="s">
        <v>0</v>
      </c>
      <c r="B1" t="s">
        <v>355</v>
      </c>
      <c r="C1" t="s">
        <v>356</v>
      </c>
      <c r="D1" t="s">
        <v>357</v>
      </c>
      <c r="E1" t="s">
        <v>358</v>
      </c>
      <c r="F1" t="s">
        <v>359</v>
      </c>
      <c r="G1" t="s">
        <v>360</v>
      </c>
      <c r="H1" s="4" t="s">
        <v>361</v>
      </c>
      <c r="I1" t="s">
        <v>362</v>
      </c>
      <c r="J1" t="s">
        <v>363</v>
      </c>
      <c r="K1" s="2" t="s">
        <v>671</v>
      </c>
      <c r="L1" s="2" t="s">
        <v>672</v>
      </c>
      <c r="M1" s="2" t="s">
        <v>673</v>
      </c>
    </row>
    <row r="2" spans="1:13" x14ac:dyDescent="0.2">
      <c r="A2" s="1" t="s">
        <v>42</v>
      </c>
      <c r="B2">
        <v>132</v>
      </c>
      <c r="C2">
        <v>20</v>
      </c>
      <c r="D2" t="s">
        <v>364</v>
      </c>
      <c r="E2" t="s">
        <v>365</v>
      </c>
      <c r="F2">
        <v>6</v>
      </c>
      <c r="H2" s="3" t="s">
        <v>366</v>
      </c>
      <c r="I2" t="s">
        <v>367</v>
      </c>
    </row>
    <row r="3" spans="1:13" x14ac:dyDescent="0.2">
      <c r="A3" s="1" t="s">
        <v>42</v>
      </c>
      <c r="B3">
        <v>352</v>
      </c>
      <c r="C3">
        <v>26</v>
      </c>
      <c r="D3" t="s">
        <v>364</v>
      </c>
      <c r="E3">
        <v>5</v>
      </c>
      <c r="F3">
        <v>14</v>
      </c>
      <c r="H3" s="3" t="s">
        <v>368</v>
      </c>
    </row>
    <row r="4" spans="1:13" x14ac:dyDescent="0.2">
      <c r="A4" s="1" t="s">
        <v>42</v>
      </c>
      <c r="B4">
        <v>305</v>
      </c>
      <c r="C4">
        <v>42</v>
      </c>
      <c r="D4" t="s">
        <v>364</v>
      </c>
      <c r="E4">
        <v>10</v>
      </c>
      <c r="F4">
        <v>8</v>
      </c>
      <c r="H4" s="3" t="s">
        <v>366</v>
      </c>
      <c r="I4" t="s">
        <v>367</v>
      </c>
      <c r="J4" t="s">
        <v>369</v>
      </c>
    </row>
    <row r="5" spans="1:13" x14ac:dyDescent="0.2">
      <c r="A5" s="1" t="s">
        <v>42</v>
      </c>
      <c r="B5">
        <v>283</v>
      </c>
      <c r="C5">
        <v>63</v>
      </c>
      <c r="D5" t="s">
        <v>370</v>
      </c>
      <c r="E5">
        <v>4</v>
      </c>
      <c r="F5">
        <v>5</v>
      </c>
      <c r="H5" s="3" t="s">
        <v>371</v>
      </c>
      <c r="I5" t="s">
        <v>367</v>
      </c>
      <c r="J5" t="s">
        <v>369</v>
      </c>
    </row>
    <row r="6" spans="1:13" x14ac:dyDescent="0.2">
      <c r="A6" s="1" t="s">
        <v>42</v>
      </c>
      <c r="B6">
        <v>285</v>
      </c>
      <c r="C6">
        <v>30</v>
      </c>
      <c r="D6" t="s">
        <v>60</v>
      </c>
      <c r="E6" t="s">
        <v>365</v>
      </c>
      <c r="F6">
        <v>11</v>
      </c>
      <c r="H6" s="3" t="s">
        <v>366</v>
      </c>
      <c r="I6" t="s">
        <v>367</v>
      </c>
    </row>
    <row r="7" spans="1:13" x14ac:dyDescent="0.2">
      <c r="A7" s="1" t="s">
        <v>42</v>
      </c>
      <c r="B7">
        <v>283</v>
      </c>
      <c r="C7">
        <v>63</v>
      </c>
      <c r="D7" t="s">
        <v>364</v>
      </c>
      <c r="E7" t="s">
        <v>365</v>
      </c>
      <c r="F7">
        <v>10</v>
      </c>
      <c r="H7" s="3" t="s">
        <v>366</v>
      </c>
      <c r="I7" t="s">
        <v>367</v>
      </c>
    </row>
    <row r="8" spans="1:13" x14ac:dyDescent="0.2">
      <c r="A8" s="1" t="s">
        <v>49</v>
      </c>
      <c r="B8">
        <v>121</v>
      </c>
      <c r="C8">
        <v>41</v>
      </c>
      <c r="D8" t="s">
        <v>364</v>
      </c>
      <c r="E8">
        <v>4</v>
      </c>
      <c r="F8">
        <v>14</v>
      </c>
      <c r="H8" s="3" t="s">
        <v>368</v>
      </c>
      <c r="I8" t="s">
        <v>367</v>
      </c>
      <c r="J8" t="s">
        <v>372</v>
      </c>
    </row>
    <row r="9" spans="1:13" x14ac:dyDescent="0.2">
      <c r="A9" s="1" t="s">
        <v>49</v>
      </c>
      <c r="B9">
        <v>124</v>
      </c>
      <c r="C9">
        <v>60</v>
      </c>
      <c r="D9" t="s">
        <v>364</v>
      </c>
      <c r="E9">
        <v>10</v>
      </c>
      <c r="F9">
        <v>14</v>
      </c>
      <c r="H9" s="3" t="s">
        <v>366</v>
      </c>
      <c r="I9" t="s">
        <v>367</v>
      </c>
    </row>
    <row r="10" spans="1:13" x14ac:dyDescent="0.2">
      <c r="A10" s="1" t="s">
        <v>49</v>
      </c>
      <c r="B10">
        <v>86</v>
      </c>
      <c r="C10">
        <v>14</v>
      </c>
      <c r="D10" t="s">
        <v>373</v>
      </c>
      <c r="E10" t="s">
        <v>365</v>
      </c>
      <c r="F10">
        <v>25</v>
      </c>
      <c r="H10" s="3" t="s">
        <v>374</v>
      </c>
      <c r="I10" t="s">
        <v>367</v>
      </c>
      <c r="J10" t="s">
        <v>372</v>
      </c>
    </row>
    <row r="11" spans="1:13" x14ac:dyDescent="0.2">
      <c r="A11" s="1" t="s">
        <v>49</v>
      </c>
      <c r="B11">
        <v>182</v>
      </c>
      <c r="C11">
        <v>49</v>
      </c>
      <c r="D11" t="s">
        <v>364</v>
      </c>
      <c r="E11">
        <v>6</v>
      </c>
      <c r="F11">
        <v>10</v>
      </c>
      <c r="H11" s="3" t="s">
        <v>368</v>
      </c>
      <c r="I11" t="s">
        <v>367</v>
      </c>
    </row>
    <row r="12" spans="1:13" x14ac:dyDescent="0.2">
      <c r="A12" s="1" t="s">
        <v>49</v>
      </c>
      <c r="B12">
        <v>182</v>
      </c>
      <c r="C12">
        <v>52</v>
      </c>
      <c r="D12" t="s">
        <v>373</v>
      </c>
      <c r="E12" t="s">
        <v>365</v>
      </c>
      <c r="F12">
        <v>24</v>
      </c>
      <c r="H12" s="3" t="s">
        <v>374</v>
      </c>
      <c r="I12" t="s">
        <v>367</v>
      </c>
    </row>
    <row r="13" spans="1:13" x14ac:dyDescent="0.2">
      <c r="A13" s="1" t="s">
        <v>49</v>
      </c>
      <c r="B13">
        <v>173</v>
      </c>
      <c r="C13">
        <v>49</v>
      </c>
      <c r="D13" t="s">
        <v>364</v>
      </c>
      <c r="E13">
        <v>5</v>
      </c>
      <c r="F13">
        <v>9</v>
      </c>
      <c r="H13" s="3" t="s">
        <v>368</v>
      </c>
      <c r="I13" t="s">
        <v>367</v>
      </c>
    </row>
    <row r="14" spans="1:13" x14ac:dyDescent="0.2">
      <c r="A14" s="1" t="s">
        <v>49</v>
      </c>
      <c r="B14">
        <v>194</v>
      </c>
      <c r="C14">
        <v>80</v>
      </c>
      <c r="D14" t="s">
        <v>375</v>
      </c>
      <c r="E14">
        <v>8</v>
      </c>
      <c r="F14">
        <v>9</v>
      </c>
      <c r="H14" s="3" t="s">
        <v>368</v>
      </c>
      <c r="I14" t="s">
        <v>367</v>
      </c>
    </row>
    <row r="15" spans="1:13" x14ac:dyDescent="0.2">
      <c r="A15" s="1" t="s">
        <v>49</v>
      </c>
      <c r="B15">
        <v>217</v>
      </c>
      <c r="C15">
        <v>64</v>
      </c>
      <c r="D15" t="s">
        <v>364</v>
      </c>
      <c r="E15">
        <v>5</v>
      </c>
      <c r="F15">
        <v>12</v>
      </c>
      <c r="H15" s="3" t="s">
        <v>368</v>
      </c>
      <c r="I15" t="s">
        <v>367</v>
      </c>
    </row>
    <row r="16" spans="1:13" x14ac:dyDescent="0.2">
      <c r="A16" s="1" t="s">
        <v>49</v>
      </c>
      <c r="B16">
        <v>206</v>
      </c>
      <c r="C16">
        <v>61</v>
      </c>
      <c r="D16" t="s">
        <v>364</v>
      </c>
      <c r="E16">
        <v>6</v>
      </c>
      <c r="F16">
        <v>10</v>
      </c>
      <c r="H16" s="3" t="s">
        <v>368</v>
      </c>
      <c r="I16" t="s">
        <v>367</v>
      </c>
    </row>
    <row r="17" spans="1:10" x14ac:dyDescent="0.2">
      <c r="A17" s="1" t="s">
        <v>49</v>
      </c>
      <c r="B17">
        <v>211</v>
      </c>
      <c r="C17">
        <v>85</v>
      </c>
      <c r="D17" t="s">
        <v>364</v>
      </c>
      <c r="E17" t="s">
        <v>365</v>
      </c>
      <c r="F17">
        <v>10</v>
      </c>
      <c r="G17" t="s">
        <v>376</v>
      </c>
      <c r="H17" s="3" t="s">
        <v>366</v>
      </c>
      <c r="I17" t="s">
        <v>377</v>
      </c>
    </row>
    <row r="18" spans="1:10" x14ac:dyDescent="0.2">
      <c r="A18" s="1" t="s">
        <v>49</v>
      </c>
      <c r="B18">
        <v>219</v>
      </c>
      <c r="C18">
        <v>46</v>
      </c>
      <c r="D18" t="s">
        <v>364</v>
      </c>
      <c r="E18">
        <v>8</v>
      </c>
      <c r="F18">
        <v>8</v>
      </c>
      <c r="H18" s="3" t="s">
        <v>368</v>
      </c>
      <c r="I18" t="s">
        <v>367</v>
      </c>
    </row>
    <row r="19" spans="1:10" x14ac:dyDescent="0.2">
      <c r="A19" s="1" t="s">
        <v>49</v>
      </c>
      <c r="B19">
        <v>228</v>
      </c>
      <c r="C19">
        <v>48</v>
      </c>
      <c r="D19" t="s">
        <v>60</v>
      </c>
      <c r="E19" t="s">
        <v>365</v>
      </c>
      <c r="F19">
        <v>6</v>
      </c>
      <c r="H19" s="3" t="s">
        <v>366</v>
      </c>
      <c r="I19" t="s">
        <v>367</v>
      </c>
      <c r="J19" t="s">
        <v>378</v>
      </c>
    </row>
    <row r="20" spans="1:10" x14ac:dyDescent="0.2">
      <c r="A20" s="1" t="s">
        <v>49</v>
      </c>
      <c r="B20">
        <v>238</v>
      </c>
      <c r="C20">
        <v>54</v>
      </c>
      <c r="D20" t="s">
        <v>364</v>
      </c>
      <c r="E20" t="s">
        <v>365</v>
      </c>
      <c r="F20">
        <v>14</v>
      </c>
      <c r="H20" s="3" t="s">
        <v>366</v>
      </c>
      <c r="I20" t="s">
        <v>367</v>
      </c>
      <c r="J20" t="s">
        <v>378</v>
      </c>
    </row>
    <row r="21" spans="1:10" x14ac:dyDescent="0.2">
      <c r="A21" s="1" t="s">
        <v>49</v>
      </c>
      <c r="B21">
        <v>262</v>
      </c>
      <c r="C21">
        <v>64</v>
      </c>
      <c r="D21" t="s">
        <v>364</v>
      </c>
      <c r="E21">
        <v>10</v>
      </c>
      <c r="F21">
        <v>14</v>
      </c>
      <c r="H21" s="3" t="s">
        <v>366</v>
      </c>
      <c r="I21" t="s">
        <v>367</v>
      </c>
    </row>
    <row r="22" spans="1:10" x14ac:dyDescent="0.2">
      <c r="A22" s="1" t="s">
        <v>49</v>
      </c>
      <c r="B22">
        <v>289</v>
      </c>
      <c r="C22">
        <v>52</v>
      </c>
      <c r="D22" t="s">
        <v>364</v>
      </c>
      <c r="E22">
        <v>5</v>
      </c>
      <c r="F22">
        <v>10</v>
      </c>
      <c r="H22" s="3" t="s">
        <v>368</v>
      </c>
      <c r="I22" t="s">
        <v>367</v>
      </c>
    </row>
    <row r="23" spans="1:10" x14ac:dyDescent="0.2">
      <c r="A23" s="1" t="s">
        <v>49</v>
      </c>
      <c r="B23">
        <v>296</v>
      </c>
      <c r="C23">
        <v>51</v>
      </c>
      <c r="D23" t="s">
        <v>364</v>
      </c>
      <c r="E23">
        <v>10</v>
      </c>
      <c r="F23">
        <v>10</v>
      </c>
      <c r="H23" s="3" t="s">
        <v>366</v>
      </c>
      <c r="I23" t="s">
        <v>367</v>
      </c>
    </row>
    <row r="24" spans="1:10" x14ac:dyDescent="0.2">
      <c r="A24" s="1" t="s">
        <v>49</v>
      </c>
      <c r="B24">
        <v>287</v>
      </c>
      <c r="C24">
        <v>46</v>
      </c>
      <c r="D24" t="s">
        <v>60</v>
      </c>
      <c r="E24" t="s">
        <v>379</v>
      </c>
      <c r="F24">
        <v>14</v>
      </c>
      <c r="H24" s="3" t="s">
        <v>371</v>
      </c>
      <c r="I24" t="s">
        <v>367</v>
      </c>
      <c r="J24" t="s">
        <v>378</v>
      </c>
    </row>
    <row r="25" spans="1:10" x14ac:dyDescent="0.2">
      <c r="A25" s="1" t="s">
        <v>49</v>
      </c>
      <c r="B25">
        <v>9</v>
      </c>
      <c r="C25">
        <v>82</v>
      </c>
      <c r="D25" t="s">
        <v>364</v>
      </c>
      <c r="E25">
        <v>3</v>
      </c>
      <c r="F25">
        <v>10</v>
      </c>
      <c r="G25" t="s">
        <v>380</v>
      </c>
      <c r="H25" s="3" t="s">
        <v>366</v>
      </c>
      <c r="I25" t="s">
        <v>367</v>
      </c>
    </row>
    <row r="26" spans="1:10" x14ac:dyDescent="0.2">
      <c r="A26" s="1" t="s">
        <v>49</v>
      </c>
      <c r="B26">
        <v>13</v>
      </c>
      <c r="C26">
        <v>76</v>
      </c>
      <c r="D26" t="s">
        <v>364</v>
      </c>
      <c r="E26" t="s">
        <v>365</v>
      </c>
      <c r="F26">
        <v>8</v>
      </c>
      <c r="G26" t="s">
        <v>380</v>
      </c>
      <c r="H26" s="3" t="s">
        <v>368</v>
      </c>
      <c r="I26" t="s">
        <v>367</v>
      </c>
    </row>
    <row r="27" spans="1:10" x14ac:dyDescent="0.2">
      <c r="A27" s="1" t="s">
        <v>49</v>
      </c>
      <c r="B27">
        <v>50</v>
      </c>
      <c r="C27">
        <v>47</v>
      </c>
      <c r="D27" t="s">
        <v>364</v>
      </c>
      <c r="E27">
        <v>4</v>
      </c>
      <c r="F27">
        <v>10</v>
      </c>
      <c r="H27" s="3" t="s">
        <v>368</v>
      </c>
      <c r="I27" t="s">
        <v>367</v>
      </c>
      <c r="J27" t="s">
        <v>381</v>
      </c>
    </row>
    <row r="28" spans="1:10" x14ac:dyDescent="0.2">
      <c r="A28" s="1" t="s">
        <v>54</v>
      </c>
      <c r="B28">
        <v>49</v>
      </c>
      <c r="C28">
        <v>56</v>
      </c>
      <c r="D28" t="s">
        <v>364</v>
      </c>
      <c r="E28">
        <v>3</v>
      </c>
      <c r="F28">
        <v>8</v>
      </c>
      <c r="H28" s="3" t="s">
        <v>368</v>
      </c>
      <c r="I28" t="s">
        <v>367</v>
      </c>
    </row>
    <row r="29" spans="1:10" x14ac:dyDescent="0.2">
      <c r="A29" s="1" t="s">
        <v>54</v>
      </c>
      <c r="B29">
        <v>44</v>
      </c>
      <c r="C29">
        <v>61</v>
      </c>
      <c r="D29" t="s">
        <v>60</v>
      </c>
      <c r="E29" t="s">
        <v>365</v>
      </c>
      <c r="F29">
        <v>6</v>
      </c>
      <c r="G29" t="s">
        <v>382</v>
      </c>
      <c r="H29" s="3" t="s">
        <v>366</v>
      </c>
      <c r="I29" t="s">
        <v>383</v>
      </c>
    </row>
    <row r="30" spans="1:10" x14ac:dyDescent="0.2">
      <c r="A30" s="1" t="s">
        <v>54</v>
      </c>
      <c r="B30">
        <v>44</v>
      </c>
      <c r="C30">
        <v>53</v>
      </c>
      <c r="D30" t="s">
        <v>60</v>
      </c>
      <c r="E30" t="s">
        <v>365</v>
      </c>
      <c r="F30">
        <v>8</v>
      </c>
      <c r="H30" s="3" t="s">
        <v>366</v>
      </c>
      <c r="I30" t="s">
        <v>367</v>
      </c>
    </row>
    <row r="31" spans="1:10" x14ac:dyDescent="0.2">
      <c r="A31" s="1" t="s">
        <v>54</v>
      </c>
      <c r="B31">
        <v>34</v>
      </c>
      <c r="C31">
        <v>52</v>
      </c>
      <c r="D31" t="s">
        <v>364</v>
      </c>
      <c r="E31">
        <v>10</v>
      </c>
      <c r="F31">
        <v>10</v>
      </c>
      <c r="H31" s="3" t="s">
        <v>368</v>
      </c>
      <c r="I31" t="s">
        <v>367</v>
      </c>
    </row>
    <row r="32" spans="1:10" x14ac:dyDescent="0.2">
      <c r="A32" s="1" t="s">
        <v>54</v>
      </c>
      <c r="B32">
        <v>32</v>
      </c>
      <c r="C32">
        <v>77</v>
      </c>
      <c r="D32" t="s">
        <v>60</v>
      </c>
      <c r="E32" t="s">
        <v>365</v>
      </c>
      <c r="F32">
        <v>6</v>
      </c>
      <c r="H32" s="3" t="s">
        <v>366</v>
      </c>
      <c r="I32" t="s">
        <v>383</v>
      </c>
    </row>
    <row r="33" spans="1:13" x14ac:dyDescent="0.2">
      <c r="A33" s="1" t="s">
        <v>54</v>
      </c>
      <c r="B33">
        <v>26</v>
      </c>
      <c r="C33">
        <v>80</v>
      </c>
      <c r="D33" t="s">
        <v>60</v>
      </c>
      <c r="E33" t="s">
        <v>365</v>
      </c>
      <c r="F33">
        <v>6</v>
      </c>
      <c r="H33" s="3" t="s">
        <v>366</v>
      </c>
      <c r="I33" t="s">
        <v>383</v>
      </c>
    </row>
    <row r="34" spans="1:13" x14ac:dyDescent="0.2">
      <c r="A34" s="1" t="s">
        <v>54</v>
      </c>
      <c r="B34">
        <v>40</v>
      </c>
      <c r="C34">
        <v>80</v>
      </c>
      <c r="D34" t="s">
        <v>60</v>
      </c>
      <c r="E34" t="s">
        <v>365</v>
      </c>
      <c r="F34">
        <v>7</v>
      </c>
      <c r="H34" s="3" t="s">
        <v>366</v>
      </c>
      <c r="I34" t="s">
        <v>383</v>
      </c>
    </row>
    <row r="35" spans="1:13" x14ac:dyDescent="0.2">
      <c r="A35" s="1" t="s">
        <v>54</v>
      </c>
      <c r="B35">
        <v>34</v>
      </c>
      <c r="C35">
        <v>86</v>
      </c>
      <c r="D35" t="s">
        <v>364</v>
      </c>
      <c r="E35">
        <v>8</v>
      </c>
      <c r="F35">
        <v>10</v>
      </c>
      <c r="G35" t="s">
        <v>384</v>
      </c>
      <c r="H35" s="3" t="s">
        <v>368</v>
      </c>
      <c r="I35" t="s">
        <v>383</v>
      </c>
      <c r="J35" t="s">
        <v>385</v>
      </c>
    </row>
    <row r="36" spans="1:13" x14ac:dyDescent="0.2">
      <c r="A36" s="1" t="s">
        <v>54</v>
      </c>
      <c r="B36">
        <v>27</v>
      </c>
      <c r="C36">
        <v>89</v>
      </c>
      <c r="D36" t="s">
        <v>386</v>
      </c>
      <c r="E36" t="s">
        <v>365</v>
      </c>
      <c r="F36">
        <v>8</v>
      </c>
      <c r="G36" t="s">
        <v>384</v>
      </c>
      <c r="H36" s="3" t="s">
        <v>366</v>
      </c>
      <c r="I36" t="s">
        <v>383</v>
      </c>
      <c r="J36" t="s">
        <v>385</v>
      </c>
    </row>
    <row r="37" spans="1:13" x14ac:dyDescent="0.2">
      <c r="A37" s="1" t="s">
        <v>54</v>
      </c>
      <c r="B37">
        <v>9</v>
      </c>
      <c r="C37">
        <v>141</v>
      </c>
      <c r="D37" t="s">
        <v>60</v>
      </c>
      <c r="E37" t="s">
        <v>365</v>
      </c>
      <c r="F37">
        <v>6</v>
      </c>
      <c r="G37" t="s">
        <v>384</v>
      </c>
      <c r="H37" s="3" t="s">
        <v>366</v>
      </c>
      <c r="I37" t="s">
        <v>383</v>
      </c>
      <c r="J37" t="s">
        <v>387</v>
      </c>
    </row>
    <row r="38" spans="1:13" x14ac:dyDescent="0.2">
      <c r="A38" s="1" t="s">
        <v>54</v>
      </c>
      <c r="B38">
        <v>302</v>
      </c>
      <c r="C38">
        <v>67</v>
      </c>
      <c r="D38" t="s">
        <v>364</v>
      </c>
      <c r="E38">
        <v>5</v>
      </c>
      <c r="F38">
        <v>4</v>
      </c>
      <c r="H38" s="3" t="s">
        <v>368</v>
      </c>
      <c r="I38" t="s">
        <v>367</v>
      </c>
    </row>
    <row r="39" spans="1:13" x14ac:dyDescent="0.2">
      <c r="A39" s="1" t="s">
        <v>54</v>
      </c>
      <c r="B39">
        <v>296</v>
      </c>
      <c r="C39">
        <v>53</v>
      </c>
      <c r="D39" t="s">
        <v>60</v>
      </c>
      <c r="E39" t="s">
        <v>365</v>
      </c>
      <c r="F39">
        <v>9</v>
      </c>
      <c r="H39" s="3" t="s">
        <v>366</v>
      </c>
      <c r="I39" t="s">
        <v>367</v>
      </c>
    </row>
    <row r="40" spans="1:13" x14ac:dyDescent="0.2">
      <c r="A40" s="1" t="s">
        <v>54</v>
      </c>
      <c r="B40">
        <v>250</v>
      </c>
      <c r="C40">
        <v>44</v>
      </c>
      <c r="D40" t="s">
        <v>364</v>
      </c>
      <c r="E40" t="s">
        <v>365</v>
      </c>
      <c r="F40">
        <v>14</v>
      </c>
      <c r="H40" s="3" t="s">
        <v>366</v>
      </c>
      <c r="I40" t="s">
        <v>367</v>
      </c>
      <c r="J40" t="s">
        <v>388</v>
      </c>
    </row>
    <row r="41" spans="1:13" x14ac:dyDescent="0.2">
      <c r="A41" s="1" t="s">
        <v>54</v>
      </c>
      <c r="B41">
        <v>235</v>
      </c>
      <c r="C41">
        <v>38</v>
      </c>
      <c r="D41" t="s">
        <v>364</v>
      </c>
      <c r="E41">
        <v>4</v>
      </c>
      <c r="F41">
        <v>8</v>
      </c>
      <c r="H41" s="3" t="s">
        <v>368</v>
      </c>
      <c r="I41" t="s">
        <v>367</v>
      </c>
      <c r="J41" t="s">
        <v>388</v>
      </c>
    </row>
    <row r="42" spans="1:13" x14ac:dyDescent="0.2">
      <c r="A42" s="1" t="s">
        <v>54</v>
      </c>
      <c r="B42">
        <v>221</v>
      </c>
      <c r="C42">
        <v>45</v>
      </c>
      <c r="D42" t="s">
        <v>364</v>
      </c>
      <c r="E42" t="s">
        <v>365</v>
      </c>
      <c r="F42">
        <v>10</v>
      </c>
      <c r="H42" s="3" t="s">
        <v>366</v>
      </c>
      <c r="I42" t="s">
        <v>367</v>
      </c>
      <c r="J42" t="s">
        <v>388</v>
      </c>
    </row>
    <row r="43" spans="1:13" x14ac:dyDescent="0.2">
      <c r="A43" s="1" t="s">
        <v>54</v>
      </c>
      <c r="B43">
        <v>221</v>
      </c>
      <c r="C43">
        <v>45</v>
      </c>
      <c r="D43" t="s">
        <v>364</v>
      </c>
      <c r="E43" t="s">
        <v>365</v>
      </c>
      <c r="F43">
        <v>12</v>
      </c>
      <c r="H43" s="3" t="s">
        <v>366</v>
      </c>
      <c r="I43" t="s">
        <v>367</v>
      </c>
      <c r="J43" t="s">
        <v>388</v>
      </c>
    </row>
    <row r="44" spans="1:13" x14ac:dyDescent="0.2">
      <c r="A44" s="1" t="s">
        <v>54</v>
      </c>
      <c r="B44">
        <v>225</v>
      </c>
      <c r="C44">
        <v>24</v>
      </c>
      <c r="D44" t="s">
        <v>364</v>
      </c>
      <c r="E44" t="s">
        <v>365</v>
      </c>
      <c r="F44">
        <v>10</v>
      </c>
      <c r="H44" s="3" t="s">
        <v>366</v>
      </c>
      <c r="I44" t="s">
        <v>367</v>
      </c>
      <c r="J44" t="s">
        <v>388</v>
      </c>
    </row>
    <row r="45" spans="1:13" x14ac:dyDescent="0.2">
      <c r="A45" s="1" t="s">
        <v>54</v>
      </c>
      <c r="B45">
        <v>212</v>
      </c>
      <c r="C45">
        <v>33</v>
      </c>
      <c r="D45" t="s">
        <v>364</v>
      </c>
      <c r="E45">
        <v>3</v>
      </c>
      <c r="F45">
        <v>10</v>
      </c>
      <c r="H45" s="3" t="s">
        <v>368</v>
      </c>
      <c r="I45" t="s">
        <v>367</v>
      </c>
      <c r="J45" t="s">
        <v>388</v>
      </c>
    </row>
    <row r="46" spans="1:13" x14ac:dyDescent="0.2">
      <c r="A46" s="1" t="s">
        <v>54</v>
      </c>
      <c r="B46">
        <v>197</v>
      </c>
      <c r="C46">
        <v>55</v>
      </c>
      <c r="D46" t="s">
        <v>60</v>
      </c>
      <c r="E46" t="s">
        <v>365</v>
      </c>
      <c r="F46">
        <v>7</v>
      </c>
      <c r="H46" s="3" t="s">
        <v>366</v>
      </c>
      <c r="I46" t="s">
        <v>367</v>
      </c>
    </row>
    <row r="47" spans="1:13" x14ac:dyDescent="0.2">
      <c r="A47" s="1" t="s">
        <v>54</v>
      </c>
      <c r="B47">
        <v>195</v>
      </c>
      <c r="C47">
        <v>43</v>
      </c>
      <c r="D47" t="s">
        <v>364</v>
      </c>
      <c r="E47">
        <v>0</v>
      </c>
      <c r="F47">
        <v>12</v>
      </c>
      <c r="G47" t="s">
        <v>389</v>
      </c>
      <c r="H47" s="4" t="s">
        <v>368</v>
      </c>
      <c r="I47" t="s">
        <v>367</v>
      </c>
    </row>
    <row r="48" spans="1:13" x14ac:dyDescent="0.2">
      <c r="A48" s="1" t="s">
        <v>58</v>
      </c>
      <c r="B48" s="2"/>
      <c r="C48" s="2">
        <v>86</v>
      </c>
      <c r="D48" t="s">
        <v>60</v>
      </c>
      <c r="E48" t="s">
        <v>365</v>
      </c>
      <c r="F48">
        <v>14</v>
      </c>
      <c r="H48" s="3" t="s">
        <v>366</v>
      </c>
      <c r="I48" t="s">
        <v>383</v>
      </c>
      <c r="K48" t="s">
        <v>63</v>
      </c>
      <c r="L48">
        <v>88</v>
      </c>
      <c r="M48" t="s">
        <v>61</v>
      </c>
    </row>
    <row r="49" spans="1:13" x14ac:dyDescent="0.2">
      <c r="A49" s="1" t="s">
        <v>58</v>
      </c>
      <c r="C49">
        <v>39</v>
      </c>
      <c r="D49" t="s">
        <v>364</v>
      </c>
      <c r="E49" t="s">
        <v>365</v>
      </c>
      <c r="F49">
        <v>18</v>
      </c>
      <c r="H49" s="3" t="s">
        <v>366</v>
      </c>
      <c r="I49" t="s">
        <v>383</v>
      </c>
      <c r="K49" t="s">
        <v>60</v>
      </c>
      <c r="L49">
        <v>51</v>
      </c>
      <c r="M49" t="s">
        <v>61</v>
      </c>
    </row>
    <row r="50" spans="1:13" x14ac:dyDescent="0.2">
      <c r="A50" s="1" t="s">
        <v>58</v>
      </c>
      <c r="C50">
        <v>41</v>
      </c>
      <c r="D50" t="s">
        <v>364</v>
      </c>
      <c r="E50">
        <v>4</v>
      </c>
      <c r="F50">
        <v>14</v>
      </c>
      <c r="H50" s="3" t="s">
        <v>368</v>
      </c>
      <c r="I50" t="s">
        <v>383</v>
      </c>
      <c r="K50" t="s">
        <v>60</v>
      </c>
      <c r="L50">
        <v>40</v>
      </c>
      <c r="M50" t="s">
        <v>64</v>
      </c>
    </row>
    <row r="51" spans="1:13" x14ac:dyDescent="0.2">
      <c r="A51" s="1" t="s">
        <v>58</v>
      </c>
      <c r="C51">
        <v>107</v>
      </c>
      <c r="D51" t="s">
        <v>364</v>
      </c>
      <c r="E51">
        <v>10</v>
      </c>
      <c r="F51">
        <v>14</v>
      </c>
      <c r="H51" s="3" t="s">
        <v>368</v>
      </c>
      <c r="I51" t="s">
        <v>367</v>
      </c>
      <c r="K51" t="s">
        <v>60</v>
      </c>
      <c r="L51">
        <v>83</v>
      </c>
      <c r="M51" t="s">
        <v>64</v>
      </c>
    </row>
    <row r="52" spans="1:13" x14ac:dyDescent="0.2">
      <c r="A52" s="1" t="s">
        <v>58</v>
      </c>
      <c r="C52">
        <v>107</v>
      </c>
      <c r="D52" t="s">
        <v>364</v>
      </c>
      <c r="E52">
        <v>1</v>
      </c>
      <c r="F52">
        <v>6</v>
      </c>
      <c r="H52" s="3" t="s">
        <v>368</v>
      </c>
      <c r="I52" t="s">
        <v>367</v>
      </c>
      <c r="K52" t="s">
        <v>60</v>
      </c>
      <c r="L52">
        <v>80</v>
      </c>
      <c r="M52" t="s">
        <v>64</v>
      </c>
    </row>
    <row r="53" spans="1:13" x14ac:dyDescent="0.2">
      <c r="A53" s="1" t="s">
        <v>58</v>
      </c>
      <c r="C53">
        <v>127</v>
      </c>
      <c r="D53" t="s">
        <v>60</v>
      </c>
      <c r="E53" t="s">
        <v>365</v>
      </c>
      <c r="F53">
        <v>6</v>
      </c>
      <c r="H53" s="3" t="s">
        <v>366</v>
      </c>
      <c r="I53" t="s">
        <v>383</v>
      </c>
      <c r="J53" t="s">
        <v>387</v>
      </c>
      <c r="K53" t="s">
        <v>63</v>
      </c>
      <c r="L53">
        <v>76</v>
      </c>
      <c r="M53" t="s">
        <v>64</v>
      </c>
    </row>
    <row r="54" spans="1:13" x14ac:dyDescent="0.2">
      <c r="A54" s="1" t="s">
        <v>58</v>
      </c>
      <c r="C54">
        <v>117</v>
      </c>
      <c r="D54" t="s">
        <v>364</v>
      </c>
      <c r="E54">
        <v>6</v>
      </c>
      <c r="F54">
        <v>14</v>
      </c>
      <c r="H54" s="3" t="s">
        <v>368</v>
      </c>
      <c r="I54" t="s">
        <v>383</v>
      </c>
      <c r="J54" t="s">
        <v>387</v>
      </c>
      <c r="K54" t="s">
        <v>63</v>
      </c>
      <c r="L54">
        <v>76</v>
      </c>
      <c r="M54" t="s">
        <v>64</v>
      </c>
    </row>
    <row r="55" spans="1:13" x14ac:dyDescent="0.2">
      <c r="A55" s="1" t="s">
        <v>58</v>
      </c>
      <c r="C55">
        <v>129</v>
      </c>
      <c r="D55" t="s">
        <v>60</v>
      </c>
      <c r="E55" t="s">
        <v>365</v>
      </c>
      <c r="F55">
        <v>12</v>
      </c>
      <c r="H55" s="3" t="s">
        <v>366</v>
      </c>
      <c r="I55" t="s">
        <v>383</v>
      </c>
      <c r="K55" t="s">
        <v>63</v>
      </c>
      <c r="L55">
        <v>57.5</v>
      </c>
      <c r="M55" t="s">
        <v>64</v>
      </c>
    </row>
    <row r="56" spans="1:13" x14ac:dyDescent="0.2">
      <c r="A56" s="1" t="s">
        <v>58</v>
      </c>
      <c r="C56">
        <v>67</v>
      </c>
      <c r="D56" t="s">
        <v>60</v>
      </c>
      <c r="E56" t="s">
        <v>365</v>
      </c>
      <c r="F56">
        <v>9</v>
      </c>
      <c r="H56" s="3" t="s">
        <v>366</v>
      </c>
      <c r="I56" t="s">
        <v>383</v>
      </c>
      <c r="J56" t="s">
        <v>390</v>
      </c>
      <c r="K56" t="s">
        <v>63</v>
      </c>
      <c r="L56">
        <v>1.5</v>
      </c>
      <c r="M56" t="s">
        <v>64</v>
      </c>
    </row>
    <row r="57" spans="1:13" x14ac:dyDescent="0.2">
      <c r="A57" s="1" t="s">
        <v>58</v>
      </c>
      <c r="C57">
        <v>64</v>
      </c>
      <c r="D57" t="s">
        <v>364</v>
      </c>
      <c r="E57" t="s">
        <v>365</v>
      </c>
      <c r="F57">
        <v>10</v>
      </c>
      <c r="H57" s="3" t="s">
        <v>366</v>
      </c>
      <c r="I57" t="s">
        <v>383</v>
      </c>
      <c r="J57" t="s">
        <v>390</v>
      </c>
      <c r="K57" t="s">
        <v>63</v>
      </c>
      <c r="L57">
        <v>27</v>
      </c>
      <c r="M57" t="s">
        <v>61</v>
      </c>
    </row>
    <row r="58" spans="1:13" x14ac:dyDescent="0.2">
      <c r="A58" s="1" t="s">
        <v>58</v>
      </c>
      <c r="C58">
        <v>48</v>
      </c>
      <c r="D58" t="s">
        <v>60</v>
      </c>
      <c r="E58" t="s">
        <v>365</v>
      </c>
      <c r="F58">
        <v>6</v>
      </c>
      <c r="H58" s="3" t="s">
        <v>366</v>
      </c>
      <c r="I58" t="s">
        <v>383</v>
      </c>
      <c r="J58" t="s">
        <v>390</v>
      </c>
      <c r="K58" t="s">
        <v>63</v>
      </c>
      <c r="L58">
        <v>42.5</v>
      </c>
      <c r="M58" t="s">
        <v>61</v>
      </c>
    </row>
    <row r="59" spans="1:13" x14ac:dyDescent="0.2">
      <c r="A59" s="1" t="s">
        <v>72</v>
      </c>
      <c r="B59">
        <v>12</v>
      </c>
      <c r="C59">
        <v>61</v>
      </c>
      <c r="D59" t="s">
        <v>60</v>
      </c>
      <c r="E59" t="s">
        <v>365</v>
      </c>
      <c r="F59">
        <v>8</v>
      </c>
      <c r="H59" s="3" t="s">
        <v>366</v>
      </c>
      <c r="I59" t="s">
        <v>391</v>
      </c>
    </row>
    <row r="60" spans="1:13" x14ac:dyDescent="0.2">
      <c r="A60" s="1" t="s">
        <v>72</v>
      </c>
      <c r="B60">
        <v>53</v>
      </c>
      <c r="C60">
        <v>50</v>
      </c>
      <c r="D60" t="s">
        <v>392</v>
      </c>
      <c r="G60" t="s">
        <v>393</v>
      </c>
      <c r="H60" s="4"/>
    </row>
    <row r="61" spans="1:13" x14ac:dyDescent="0.2">
      <c r="A61" s="1" t="s">
        <v>78</v>
      </c>
      <c r="B61">
        <v>274</v>
      </c>
      <c r="C61">
        <v>68</v>
      </c>
      <c r="D61" t="s">
        <v>364</v>
      </c>
      <c r="E61">
        <v>1</v>
      </c>
      <c r="F61">
        <v>10</v>
      </c>
    </row>
    <row r="62" spans="1:13" x14ac:dyDescent="0.2">
      <c r="A62" s="1" t="s">
        <v>78</v>
      </c>
      <c r="B62">
        <v>276</v>
      </c>
      <c r="C62">
        <v>58</v>
      </c>
      <c r="D62" t="s">
        <v>364</v>
      </c>
      <c r="E62">
        <v>2</v>
      </c>
      <c r="F62">
        <v>12</v>
      </c>
    </row>
    <row r="63" spans="1:13" x14ac:dyDescent="0.2">
      <c r="A63" s="1" t="s">
        <v>78</v>
      </c>
      <c r="B63">
        <v>246</v>
      </c>
      <c r="C63">
        <v>21</v>
      </c>
      <c r="D63" t="s">
        <v>364</v>
      </c>
      <c r="E63" t="s">
        <v>365</v>
      </c>
      <c r="F63">
        <v>10</v>
      </c>
    </row>
    <row r="64" spans="1:13" x14ac:dyDescent="0.2">
      <c r="A64" s="1" t="s">
        <v>78</v>
      </c>
      <c r="B64">
        <v>324</v>
      </c>
      <c r="C64">
        <v>18</v>
      </c>
      <c r="D64" t="s">
        <v>364</v>
      </c>
      <c r="E64">
        <v>10</v>
      </c>
      <c r="F64">
        <v>9</v>
      </c>
    </row>
    <row r="65" spans="1:6" x14ac:dyDescent="0.2">
      <c r="A65" s="1" t="s">
        <v>78</v>
      </c>
      <c r="B65">
        <v>290</v>
      </c>
      <c r="C65">
        <v>31</v>
      </c>
      <c r="D65" t="s">
        <v>364</v>
      </c>
      <c r="E65">
        <v>8</v>
      </c>
      <c r="F65">
        <v>10</v>
      </c>
    </row>
    <row r="66" spans="1:6" x14ac:dyDescent="0.2">
      <c r="A66" s="1" t="s">
        <v>78</v>
      </c>
      <c r="B66">
        <v>185</v>
      </c>
      <c r="C66">
        <v>69</v>
      </c>
      <c r="D66" t="s">
        <v>60</v>
      </c>
      <c r="E66" t="s">
        <v>365</v>
      </c>
      <c r="F66">
        <v>4</v>
      </c>
    </row>
    <row r="67" spans="1:6" x14ac:dyDescent="0.2">
      <c r="A67" s="1" t="s">
        <v>78</v>
      </c>
      <c r="B67">
        <v>185</v>
      </c>
      <c r="C67">
        <v>69</v>
      </c>
      <c r="D67" t="s">
        <v>60</v>
      </c>
      <c r="E67" t="s">
        <v>365</v>
      </c>
      <c r="F67">
        <v>4</v>
      </c>
    </row>
    <row r="68" spans="1:6" x14ac:dyDescent="0.2">
      <c r="A68" s="1" t="s">
        <v>78</v>
      </c>
      <c r="B68">
        <v>187</v>
      </c>
      <c r="C68">
        <v>63</v>
      </c>
      <c r="D68" t="s">
        <v>364</v>
      </c>
      <c r="E68" t="s">
        <v>365</v>
      </c>
      <c r="F68">
        <v>4</v>
      </c>
    </row>
    <row r="69" spans="1:6" x14ac:dyDescent="0.2">
      <c r="A69" s="1" t="s">
        <v>78</v>
      </c>
      <c r="B69">
        <v>200</v>
      </c>
      <c r="C69">
        <v>80</v>
      </c>
      <c r="D69" t="s">
        <v>60</v>
      </c>
      <c r="E69" t="s">
        <v>365</v>
      </c>
      <c r="F69">
        <v>5</v>
      </c>
    </row>
    <row r="70" spans="1:6" x14ac:dyDescent="0.2">
      <c r="A70" s="1" t="s">
        <v>78</v>
      </c>
      <c r="B70">
        <v>201</v>
      </c>
      <c r="C70">
        <v>80</v>
      </c>
      <c r="D70" t="s">
        <v>60</v>
      </c>
      <c r="E70" t="s">
        <v>365</v>
      </c>
      <c r="F70">
        <v>5</v>
      </c>
    </row>
    <row r="71" spans="1:6" x14ac:dyDescent="0.2">
      <c r="A71" s="1" t="s">
        <v>78</v>
      </c>
      <c r="B71">
        <v>201</v>
      </c>
      <c r="C71">
        <v>59</v>
      </c>
      <c r="D71" t="s">
        <v>60</v>
      </c>
      <c r="E71" t="s">
        <v>365</v>
      </c>
      <c r="F71">
        <v>8</v>
      </c>
    </row>
    <row r="72" spans="1:6" x14ac:dyDescent="0.2">
      <c r="A72" s="1" t="s">
        <v>78</v>
      </c>
      <c r="B72">
        <v>332</v>
      </c>
      <c r="C72">
        <v>38</v>
      </c>
      <c r="D72" t="s">
        <v>60</v>
      </c>
      <c r="E72" t="s">
        <v>365</v>
      </c>
      <c r="F72">
        <v>6</v>
      </c>
    </row>
    <row r="73" spans="1:6" x14ac:dyDescent="0.2">
      <c r="A73" s="1" t="s">
        <v>78</v>
      </c>
      <c r="B73">
        <v>339</v>
      </c>
      <c r="C73">
        <v>37</v>
      </c>
      <c r="D73" t="s">
        <v>60</v>
      </c>
      <c r="E73" t="s">
        <v>365</v>
      </c>
      <c r="F73">
        <v>10</v>
      </c>
    </row>
    <row r="74" spans="1:6" x14ac:dyDescent="0.2">
      <c r="A74" s="1" t="s">
        <v>78</v>
      </c>
      <c r="B74">
        <v>332</v>
      </c>
      <c r="C74">
        <v>27</v>
      </c>
      <c r="D74" t="s">
        <v>60</v>
      </c>
      <c r="E74">
        <v>2</v>
      </c>
      <c r="F74">
        <v>10</v>
      </c>
    </row>
    <row r="75" spans="1:6" x14ac:dyDescent="0.2">
      <c r="A75" s="1" t="s">
        <v>78</v>
      </c>
      <c r="B75">
        <v>140</v>
      </c>
      <c r="C75">
        <v>60</v>
      </c>
      <c r="D75" t="s">
        <v>364</v>
      </c>
      <c r="E75">
        <v>7</v>
      </c>
      <c r="F75">
        <v>6</v>
      </c>
    </row>
    <row r="76" spans="1:6" x14ac:dyDescent="0.2">
      <c r="A76" s="1" t="s">
        <v>78</v>
      </c>
      <c r="B76">
        <v>140</v>
      </c>
      <c r="C76">
        <v>64</v>
      </c>
      <c r="D76" t="s">
        <v>364</v>
      </c>
      <c r="E76">
        <v>7</v>
      </c>
      <c r="F76">
        <v>9</v>
      </c>
    </row>
    <row r="77" spans="1:6" x14ac:dyDescent="0.2">
      <c r="A77" s="1" t="s">
        <v>78</v>
      </c>
      <c r="B77">
        <v>301</v>
      </c>
      <c r="C77">
        <v>36</v>
      </c>
      <c r="D77" t="s">
        <v>60</v>
      </c>
      <c r="E77" t="s">
        <v>365</v>
      </c>
      <c r="F77">
        <v>4</v>
      </c>
    </row>
    <row r="78" spans="1:6" x14ac:dyDescent="0.2">
      <c r="A78" s="1" t="s">
        <v>78</v>
      </c>
      <c r="B78">
        <v>293</v>
      </c>
      <c r="C78">
        <v>22</v>
      </c>
      <c r="D78" t="s">
        <v>60</v>
      </c>
      <c r="E78" t="s">
        <v>365</v>
      </c>
      <c r="F78">
        <v>6</v>
      </c>
    </row>
    <row r="79" spans="1:6" x14ac:dyDescent="0.2">
      <c r="A79" s="1" t="s">
        <v>78</v>
      </c>
      <c r="B79">
        <v>313</v>
      </c>
      <c r="C79">
        <v>45</v>
      </c>
      <c r="D79" t="s">
        <v>364</v>
      </c>
      <c r="E79">
        <v>6</v>
      </c>
      <c r="F79">
        <v>5</v>
      </c>
    </row>
    <row r="80" spans="1:6" x14ac:dyDescent="0.2">
      <c r="A80" s="1" t="s">
        <v>78</v>
      </c>
      <c r="B80">
        <v>324</v>
      </c>
      <c r="C80">
        <v>24</v>
      </c>
      <c r="D80" t="s">
        <v>364</v>
      </c>
      <c r="E80">
        <v>3</v>
      </c>
      <c r="F80">
        <v>5</v>
      </c>
    </row>
    <row r="81" spans="1:8" x14ac:dyDescent="0.2">
      <c r="A81" s="1" t="s">
        <v>78</v>
      </c>
      <c r="B81">
        <v>287</v>
      </c>
      <c r="C81">
        <v>49</v>
      </c>
      <c r="D81" t="s">
        <v>60</v>
      </c>
      <c r="E81" t="s">
        <v>365</v>
      </c>
      <c r="F81">
        <v>6</v>
      </c>
    </row>
    <row r="82" spans="1:8" x14ac:dyDescent="0.2">
      <c r="A82" s="1" t="s">
        <v>78</v>
      </c>
      <c r="B82">
        <v>173</v>
      </c>
      <c r="C82">
        <v>50</v>
      </c>
      <c r="D82" t="s">
        <v>392</v>
      </c>
      <c r="G82" t="s">
        <v>394</v>
      </c>
      <c r="H82" s="4"/>
    </row>
    <row r="83" spans="1:8" x14ac:dyDescent="0.2">
      <c r="A83" s="1" t="s">
        <v>78</v>
      </c>
      <c r="B83">
        <v>287</v>
      </c>
      <c r="C83">
        <v>42</v>
      </c>
      <c r="D83" t="s">
        <v>60</v>
      </c>
      <c r="E83" t="s">
        <v>365</v>
      </c>
      <c r="F83">
        <v>5</v>
      </c>
    </row>
    <row r="84" spans="1:8" x14ac:dyDescent="0.2">
      <c r="A84" s="1" t="s">
        <v>78</v>
      </c>
      <c r="B84">
        <v>283</v>
      </c>
      <c r="C84">
        <v>48</v>
      </c>
      <c r="D84" t="s">
        <v>364</v>
      </c>
      <c r="E84">
        <v>10</v>
      </c>
      <c r="F84">
        <v>6</v>
      </c>
    </row>
    <row r="85" spans="1:8" x14ac:dyDescent="0.2">
      <c r="A85" s="1" t="s">
        <v>78</v>
      </c>
      <c r="B85">
        <v>280</v>
      </c>
      <c r="C85">
        <v>44</v>
      </c>
      <c r="D85" t="s">
        <v>364</v>
      </c>
      <c r="E85" t="s">
        <v>365</v>
      </c>
      <c r="F85">
        <v>6</v>
      </c>
    </row>
    <row r="86" spans="1:8" x14ac:dyDescent="0.2">
      <c r="A86" s="1" t="s">
        <v>78</v>
      </c>
      <c r="B86">
        <v>306</v>
      </c>
      <c r="C86">
        <v>61</v>
      </c>
      <c r="D86" t="s">
        <v>60</v>
      </c>
      <c r="E86">
        <v>2</v>
      </c>
      <c r="F86">
        <v>6</v>
      </c>
    </row>
    <row r="87" spans="1:8" x14ac:dyDescent="0.2">
      <c r="A87" s="1" t="s">
        <v>82</v>
      </c>
      <c r="B87">
        <v>130</v>
      </c>
      <c r="C87">
        <v>30</v>
      </c>
      <c r="D87" t="s">
        <v>60</v>
      </c>
      <c r="E87">
        <v>2</v>
      </c>
      <c r="F87">
        <v>8</v>
      </c>
    </row>
    <row r="88" spans="1:8" x14ac:dyDescent="0.2">
      <c r="A88" s="1" t="s">
        <v>82</v>
      </c>
      <c r="B88">
        <v>140</v>
      </c>
      <c r="C88">
        <v>58</v>
      </c>
      <c r="D88" t="s">
        <v>60</v>
      </c>
      <c r="E88">
        <v>2</v>
      </c>
      <c r="F88">
        <v>18</v>
      </c>
    </row>
    <row r="89" spans="1:8" x14ac:dyDescent="0.2">
      <c r="A89" s="1" t="s">
        <v>82</v>
      </c>
      <c r="B89">
        <v>153</v>
      </c>
      <c r="C89">
        <v>31</v>
      </c>
      <c r="D89" t="s">
        <v>60</v>
      </c>
      <c r="E89">
        <v>3</v>
      </c>
      <c r="F89">
        <v>7</v>
      </c>
    </row>
    <row r="90" spans="1:8" x14ac:dyDescent="0.2">
      <c r="A90" s="1" t="s">
        <v>82</v>
      </c>
      <c r="B90">
        <v>153</v>
      </c>
      <c r="C90">
        <v>69</v>
      </c>
      <c r="D90" t="s">
        <v>395</v>
      </c>
      <c r="E90" t="s">
        <v>379</v>
      </c>
      <c r="F90">
        <v>6</v>
      </c>
    </row>
    <row r="91" spans="1:8" x14ac:dyDescent="0.2">
      <c r="A91" s="1" t="s">
        <v>82</v>
      </c>
      <c r="B91">
        <v>168</v>
      </c>
      <c r="C91">
        <v>24</v>
      </c>
      <c r="D91" t="s">
        <v>395</v>
      </c>
      <c r="E91" t="s">
        <v>379</v>
      </c>
      <c r="F91">
        <v>20</v>
      </c>
    </row>
    <row r="92" spans="1:8" x14ac:dyDescent="0.2">
      <c r="A92" s="1" t="s">
        <v>82</v>
      </c>
      <c r="B92">
        <v>220</v>
      </c>
      <c r="C92">
        <v>34</v>
      </c>
      <c r="D92" t="s">
        <v>60</v>
      </c>
      <c r="E92" t="s">
        <v>365</v>
      </c>
      <c r="F92">
        <v>15</v>
      </c>
    </row>
    <row r="93" spans="1:8" x14ac:dyDescent="0.2">
      <c r="A93" s="1" t="s">
        <v>82</v>
      </c>
      <c r="B93">
        <v>192</v>
      </c>
      <c r="C93">
        <v>53</v>
      </c>
      <c r="D93" t="s">
        <v>60</v>
      </c>
      <c r="E93">
        <v>5</v>
      </c>
      <c r="F93">
        <v>12</v>
      </c>
    </row>
    <row r="94" spans="1:8" x14ac:dyDescent="0.2">
      <c r="A94" s="1" t="s">
        <v>82</v>
      </c>
      <c r="B94">
        <v>192</v>
      </c>
      <c r="C94">
        <v>85</v>
      </c>
      <c r="D94" t="s">
        <v>60</v>
      </c>
      <c r="E94">
        <v>2</v>
      </c>
      <c r="F94">
        <v>12</v>
      </c>
    </row>
    <row r="95" spans="1:8" x14ac:dyDescent="0.2">
      <c r="A95" s="1" t="s">
        <v>86</v>
      </c>
      <c r="B95">
        <v>178</v>
      </c>
      <c r="C95">
        <v>89</v>
      </c>
      <c r="D95" t="s">
        <v>60</v>
      </c>
      <c r="E95">
        <v>5</v>
      </c>
      <c r="F95">
        <v>10</v>
      </c>
    </row>
    <row r="96" spans="1:8" x14ac:dyDescent="0.2">
      <c r="A96" s="1" t="s">
        <v>86</v>
      </c>
      <c r="B96">
        <v>127</v>
      </c>
      <c r="C96">
        <v>16</v>
      </c>
      <c r="D96" t="s">
        <v>364</v>
      </c>
      <c r="E96">
        <v>0</v>
      </c>
      <c r="F96">
        <v>10</v>
      </c>
    </row>
    <row r="97" spans="1:6" x14ac:dyDescent="0.2">
      <c r="A97" s="1" t="s">
        <v>86</v>
      </c>
      <c r="B97">
        <v>167</v>
      </c>
      <c r="C97">
        <v>74</v>
      </c>
      <c r="D97" t="s">
        <v>386</v>
      </c>
      <c r="E97" t="s">
        <v>379</v>
      </c>
      <c r="F97">
        <v>8</v>
      </c>
    </row>
    <row r="98" spans="1:6" x14ac:dyDescent="0.2">
      <c r="A98" s="1" t="s">
        <v>86</v>
      </c>
      <c r="B98">
        <v>117</v>
      </c>
      <c r="C98">
        <v>53</v>
      </c>
      <c r="D98" t="s">
        <v>60</v>
      </c>
      <c r="E98">
        <v>6</v>
      </c>
      <c r="F98">
        <v>14</v>
      </c>
    </row>
    <row r="99" spans="1:6" x14ac:dyDescent="0.2">
      <c r="A99" s="1" t="s">
        <v>86</v>
      </c>
      <c r="B99">
        <v>117</v>
      </c>
      <c r="C99">
        <v>65</v>
      </c>
      <c r="D99" t="s">
        <v>364</v>
      </c>
      <c r="E99">
        <v>0</v>
      </c>
      <c r="F99">
        <v>10</v>
      </c>
    </row>
    <row r="100" spans="1:6" x14ac:dyDescent="0.2">
      <c r="A100" s="1" t="s">
        <v>86</v>
      </c>
      <c r="B100">
        <v>86</v>
      </c>
      <c r="C100">
        <v>55</v>
      </c>
      <c r="D100" t="s">
        <v>60</v>
      </c>
      <c r="E100" t="s">
        <v>365</v>
      </c>
      <c r="F100">
        <v>8</v>
      </c>
    </row>
    <row r="101" spans="1:6" x14ac:dyDescent="0.2">
      <c r="A101" s="1" t="s">
        <v>86</v>
      </c>
      <c r="B101">
        <v>87</v>
      </c>
      <c r="C101">
        <v>63</v>
      </c>
      <c r="D101" t="s">
        <v>364</v>
      </c>
      <c r="E101">
        <v>4</v>
      </c>
      <c r="F101">
        <v>10</v>
      </c>
    </row>
    <row r="102" spans="1:6" x14ac:dyDescent="0.2">
      <c r="A102" s="1" t="s">
        <v>86</v>
      </c>
      <c r="B102">
        <v>87</v>
      </c>
      <c r="C102">
        <v>83</v>
      </c>
      <c r="D102" t="s">
        <v>60</v>
      </c>
      <c r="E102" t="s">
        <v>365</v>
      </c>
      <c r="F102">
        <v>8</v>
      </c>
    </row>
    <row r="103" spans="1:6" x14ac:dyDescent="0.2">
      <c r="A103" s="1" t="s">
        <v>86</v>
      </c>
      <c r="B103">
        <v>123</v>
      </c>
      <c r="C103">
        <v>46</v>
      </c>
      <c r="D103" t="s">
        <v>60</v>
      </c>
      <c r="E103">
        <v>7</v>
      </c>
      <c r="F103">
        <v>13</v>
      </c>
    </row>
    <row r="104" spans="1:6" x14ac:dyDescent="0.2">
      <c r="A104" s="1" t="s">
        <v>86</v>
      </c>
      <c r="B104">
        <v>254</v>
      </c>
      <c r="C104">
        <v>40</v>
      </c>
      <c r="D104" t="s">
        <v>364</v>
      </c>
      <c r="E104">
        <v>5</v>
      </c>
      <c r="F104">
        <v>6</v>
      </c>
    </row>
    <row r="105" spans="1:6" x14ac:dyDescent="0.2">
      <c r="A105" s="1" t="s">
        <v>90</v>
      </c>
      <c r="B105">
        <v>83</v>
      </c>
      <c r="C105">
        <v>64</v>
      </c>
      <c r="D105" t="s">
        <v>364</v>
      </c>
      <c r="E105">
        <v>8</v>
      </c>
      <c r="F105">
        <v>7</v>
      </c>
    </row>
    <row r="106" spans="1:6" x14ac:dyDescent="0.2">
      <c r="A106" s="1" t="s">
        <v>90</v>
      </c>
      <c r="B106">
        <v>83</v>
      </c>
      <c r="C106">
        <v>61</v>
      </c>
      <c r="D106" t="s">
        <v>364</v>
      </c>
      <c r="E106" t="s">
        <v>365</v>
      </c>
      <c r="F106">
        <v>15</v>
      </c>
    </row>
    <row r="107" spans="1:6" x14ac:dyDescent="0.2">
      <c r="A107" s="1" t="s">
        <v>90</v>
      </c>
      <c r="B107">
        <v>72</v>
      </c>
      <c r="C107">
        <v>59</v>
      </c>
      <c r="D107" t="s">
        <v>364</v>
      </c>
      <c r="E107">
        <v>10</v>
      </c>
      <c r="F107">
        <v>14</v>
      </c>
    </row>
    <row r="108" spans="1:6" x14ac:dyDescent="0.2">
      <c r="A108" s="1" t="s">
        <v>90</v>
      </c>
      <c r="B108">
        <v>101</v>
      </c>
      <c r="C108">
        <v>30</v>
      </c>
      <c r="D108" t="s">
        <v>60</v>
      </c>
      <c r="E108">
        <v>4</v>
      </c>
      <c r="F108">
        <v>12</v>
      </c>
    </row>
    <row r="109" spans="1:6" x14ac:dyDescent="0.2">
      <c r="A109" s="1" t="s">
        <v>90</v>
      </c>
      <c r="B109">
        <v>68</v>
      </c>
      <c r="C109">
        <v>64</v>
      </c>
      <c r="D109" t="s">
        <v>60</v>
      </c>
      <c r="E109">
        <v>2</v>
      </c>
      <c r="F109">
        <v>14</v>
      </c>
    </row>
    <row r="110" spans="1:6" x14ac:dyDescent="0.2">
      <c r="A110" s="1" t="s">
        <v>90</v>
      </c>
      <c r="B110">
        <v>101</v>
      </c>
      <c r="C110">
        <v>85.5</v>
      </c>
      <c r="D110" t="s">
        <v>60</v>
      </c>
      <c r="E110" t="s">
        <v>365</v>
      </c>
      <c r="F110">
        <v>8</v>
      </c>
    </row>
    <row r="111" spans="1:6" x14ac:dyDescent="0.2">
      <c r="A111" s="1" t="s">
        <v>90</v>
      </c>
      <c r="B111">
        <v>101</v>
      </c>
      <c r="C111">
        <v>65</v>
      </c>
      <c r="D111" t="s">
        <v>364</v>
      </c>
      <c r="E111">
        <v>4</v>
      </c>
      <c r="F111">
        <v>12</v>
      </c>
    </row>
    <row r="112" spans="1:6" x14ac:dyDescent="0.2">
      <c r="A112" s="1" t="s">
        <v>90</v>
      </c>
      <c r="B112">
        <v>341</v>
      </c>
      <c r="C112">
        <v>66</v>
      </c>
      <c r="D112" t="s">
        <v>60</v>
      </c>
      <c r="E112">
        <v>1</v>
      </c>
      <c r="F112">
        <v>15</v>
      </c>
    </row>
    <row r="113" spans="1:13" x14ac:dyDescent="0.2">
      <c r="A113" s="1" t="s">
        <v>90</v>
      </c>
      <c r="B113">
        <v>340</v>
      </c>
      <c r="C113">
        <v>77</v>
      </c>
      <c r="D113" t="s">
        <v>60</v>
      </c>
      <c r="E113" t="s">
        <v>379</v>
      </c>
      <c r="F113">
        <v>15</v>
      </c>
      <c r="G113" t="s">
        <v>396</v>
      </c>
      <c r="H113" s="4"/>
    </row>
    <row r="114" spans="1:13" x14ac:dyDescent="0.2">
      <c r="A114" s="1" t="s">
        <v>90</v>
      </c>
      <c r="B114">
        <v>353</v>
      </c>
      <c r="C114">
        <v>66</v>
      </c>
      <c r="D114" t="s">
        <v>364</v>
      </c>
      <c r="E114">
        <v>1</v>
      </c>
      <c r="F114">
        <v>4</v>
      </c>
    </row>
    <row r="115" spans="1:13" x14ac:dyDescent="0.2">
      <c r="A115" s="1" t="s">
        <v>90</v>
      </c>
      <c r="B115">
        <v>0</v>
      </c>
      <c r="C115">
        <v>70</v>
      </c>
      <c r="D115" t="s">
        <v>386</v>
      </c>
      <c r="E115">
        <v>0</v>
      </c>
      <c r="F115">
        <v>8</v>
      </c>
    </row>
    <row r="116" spans="1:13" x14ac:dyDescent="0.2">
      <c r="A116" s="1" t="s">
        <v>90</v>
      </c>
      <c r="B116">
        <v>121</v>
      </c>
      <c r="C116">
        <v>6</v>
      </c>
      <c r="D116" t="s">
        <v>60</v>
      </c>
      <c r="E116" t="s">
        <v>365</v>
      </c>
      <c r="F116">
        <v>14</v>
      </c>
    </row>
    <row r="117" spans="1:13" x14ac:dyDescent="0.2">
      <c r="A117" s="1" t="s">
        <v>90</v>
      </c>
      <c r="B117">
        <v>287</v>
      </c>
      <c r="C117">
        <v>75</v>
      </c>
      <c r="D117" t="s">
        <v>386</v>
      </c>
      <c r="E117">
        <v>4</v>
      </c>
      <c r="F117">
        <v>3</v>
      </c>
    </row>
    <row r="118" spans="1:13" x14ac:dyDescent="0.2">
      <c r="A118" s="1" t="s">
        <v>90</v>
      </c>
      <c r="B118">
        <v>287</v>
      </c>
      <c r="C118">
        <v>66</v>
      </c>
      <c r="D118" t="s">
        <v>364</v>
      </c>
      <c r="E118">
        <v>3</v>
      </c>
      <c r="F118">
        <v>16</v>
      </c>
    </row>
    <row r="119" spans="1:13" x14ac:dyDescent="0.2">
      <c r="A119" s="1" t="s">
        <v>90</v>
      </c>
      <c r="B119">
        <v>241</v>
      </c>
      <c r="C119">
        <v>11</v>
      </c>
      <c r="D119" t="s">
        <v>60</v>
      </c>
      <c r="E119" t="s">
        <v>379</v>
      </c>
      <c r="F119">
        <v>10</v>
      </c>
    </row>
    <row r="120" spans="1:13" x14ac:dyDescent="0.2">
      <c r="A120" s="1" t="s">
        <v>90</v>
      </c>
      <c r="B120">
        <v>241</v>
      </c>
      <c r="C120">
        <v>54</v>
      </c>
      <c r="D120" t="s">
        <v>364</v>
      </c>
      <c r="E120">
        <v>10</v>
      </c>
      <c r="F120">
        <v>15</v>
      </c>
    </row>
    <row r="121" spans="1:13" x14ac:dyDescent="0.2">
      <c r="A121" s="1" t="s">
        <v>90</v>
      </c>
      <c r="B121">
        <v>237</v>
      </c>
      <c r="C121">
        <v>54</v>
      </c>
      <c r="D121" t="s">
        <v>364</v>
      </c>
      <c r="E121">
        <v>5</v>
      </c>
      <c r="F121">
        <v>15</v>
      </c>
    </row>
    <row r="122" spans="1:13" x14ac:dyDescent="0.2">
      <c r="A122" s="1" t="s">
        <v>90</v>
      </c>
      <c r="B122">
        <v>216</v>
      </c>
      <c r="C122">
        <v>54</v>
      </c>
      <c r="D122" t="s">
        <v>364</v>
      </c>
      <c r="E122">
        <v>10</v>
      </c>
      <c r="F122">
        <v>10</v>
      </c>
    </row>
    <row r="123" spans="1:13" x14ac:dyDescent="0.2">
      <c r="A123" s="1" t="s">
        <v>90</v>
      </c>
      <c r="B123">
        <v>203</v>
      </c>
      <c r="C123">
        <v>77</v>
      </c>
      <c r="D123" t="s">
        <v>60</v>
      </c>
      <c r="E123">
        <v>1</v>
      </c>
      <c r="F123">
        <v>16</v>
      </c>
    </row>
    <row r="124" spans="1:13" x14ac:dyDescent="0.2">
      <c r="A124" s="1" t="s">
        <v>90</v>
      </c>
      <c r="B124">
        <v>201</v>
      </c>
      <c r="C124">
        <v>68</v>
      </c>
      <c r="D124" t="s">
        <v>60</v>
      </c>
      <c r="E124" t="s">
        <v>379</v>
      </c>
      <c r="F124">
        <v>16</v>
      </c>
    </row>
    <row r="125" spans="1:13" x14ac:dyDescent="0.2">
      <c r="A125" s="1" t="s">
        <v>90</v>
      </c>
      <c r="B125">
        <v>137</v>
      </c>
      <c r="C125">
        <v>26</v>
      </c>
      <c r="D125" t="s">
        <v>397</v>
      </c>
      <c r="E125">
        <v>1</v>
      </c>
      <c r="F125">
        <v>7</v>
      </c>
    </row>
    <row r="126" spans="1:13" x14ac:dyDescent="0.2">
      <c r="A126" s="1" t="s">
        <v>93</v>
      </c>
      <c r="C126">
        <v>69</v>
      </c>
      <c r="D126" t="s">
        <v>375</v>
      </c>
      <c r="E126" t="s">
        <v>365</v>
      </c>
      <c r="F126">
        <v>10</v>
      </c>
      <c r="K126" t="s">
        <v>63</v>
      </c>
      <c r="L126">
        <v>10</v>
      </c>
      <c r="M126" t="s">
        <v>61</v>
      </c>
    </row>
    <row r="127" spans="1:13" x14ac:dyDescent="0.2">
      <c r="A127" s="1" t="s">
        <v>93</v>
      </c>
      <c r="C127">
        <v>39</v>
      </c>
      <c r="D127" t="s">
        <v>60</v>
      </c>
      <c r="E127" t="s">
        <v>365</v>
      </c>
      <c r="F127">
        <v>4</v>
      </c>
      <c r="K127" t="s">
        <v>63</v>
      </c>
      <c r="L127">
        <v>56</v>
      </c>
      <c r="M127" t="s">
        <v>61</v>
      </c>
    </row>
    <row r="128" spans="1:13" x14ac:dyDescent="0.2">
      <c r="A128" s="1" t="s">
        <v>93</v>
      </c>
      <c r="C128">
        <v>23</v>
      </c>
      <c r="D128" t="s">
        <v>60</v>
      </c>
      <c r="E128">
        <v>1</v>
      </c>
      <c r="F128">
        <v>18</v>
      </c>
      <c r="K128" t="s">
        <v>63</v>
      </c>
      <c r="L128">
        <v>56</v>
      </c>
      <c r="M128" t="s">
        <v>61</v>
      </c>
    </row>
    <row r="129" spans="1:13" x14ac:dyDescent="0.2">
      <c r="A129" s="1" t="s">
        <v>93</v>
      </c>
      <c r="C129">
        <v>45</v>
      </c>
      <c r="D129" t="s">
        <v>364</v>
      </c>
      <c r="E129">
        <v>7</v>
      </c>
      <c r="F129">
        <v>18</v>
      </c>
      <c r="K129" t="s">
        <v>63</v>
      </c>
      <c r="L129">
        <v>76</v>
      </c>
      <c r="M129" t="s">
        <v>61</v>
      </c>
    </row>
    <row r="130" spans="1:13" x14ac:dyDescent="0.2">
      <c r="A130" s="1" t="s">
        <v>93</v>
      </c>
      <c r="C130">
        <v>30</v>
      </c>
      <c r="D130" t="s">
        <v>364</v>
      </c>
      <c r="E130">
        <v>7</v>
      </c>
      <c r="F130">
        <v>14</v>
      </c>
      <c r="K130" t="s">
        <v>63</v>
      </c>
      <c r="L130">
        <v>76</v>
      </c>
      <c r="M130" t="s">
        <v>61</v>
      </c>
    </row>
    <row r="131" spans="1:13" x14ac:dyDescent="0.2">
      <c r="A131" s="1" t="s">
        <v>93</v>
      </c>
      <c r="C131">
        <v>45</v>
      </c>
      <c r="D131" t="s">
        <v>60</v>
      </c>
      <c r="E131">
        <v>9</v>
      </c>
      <c r="F131">
        <v>11</v>
      </c>
      <c r="K131" t="s">
        <v>60</v>
      </c>
      <c r="L131">
        <v>89.5</v>
      </c>
      <c r="M131" t="s">
        <v>61</v>
      </c>
    </row>
    <row r="132" spans="1:13" x14ac:dyDescent="0.2">
      <c r="A132" s="1" t="s">
        <v>93</v>
      </c>
      <c r="C132">
        <v>31</v>
      </c>
      <c r="D132" t="s">
        <v>60</v>
      </c>
      <c r="E132">
        <v>4</v>
      </c>
      <c r="F132">
        <v>14</v>
      </c>
      <c r="K132" t="s">
        <v>60</v>
      </c>
      <c r="L132">
        <v>72</v>
      </c>
      <c r="M132" t="s">
        <v>61</v>
      </c>
    </row>
    <row r="133" spans="1:13" x14ac:dyDescent="0.2">
      <c r="A133" s="1" t="s">
        <v>93</v>
      </c>
      <c r="C133">
        <v>40</v>
      </c>
      <c r="D133" t="s">
        <v>60</v>
      </c>
      <c r="E133" t="s">
        <v>365</v>
      </c>
      <c r="F133">
        <v>4</v>
      </c>
      <c r="K133" t="s">
        <v>60</v>
      </c>
      <c r="L133">
        <v>67</v>
      </c>
      <c r="M133" t="s">
        <v>61</v>
      </c>
    </row>
    <row r="134" spans="1:13" x14ac:dyDescent="0.2">
      <c r="A134" s="1" t="s">
        <v>93</v>
      </c>
      <c r="C134">
        <v>67</v>
      </c>
      <c r="D134" t="s">
        <v>364</v>
      </c>
      <c r="E134" t="s">
        <v>365</v>
      </c>
      <c r="F134">
        <v>10</v>
      </c>
      <c r="K134" t="s">
        <v>60</v>
      </c>
      <c r="L134">
        <v>34.5</v>
      </c>
      <c r="M134" t="s">
        <v>61</v>
      </c>
    </row>
    <row r="135" spans="1:13" x14ac:dyDescent="0.2">
      <c r="A135" s="1" t="s">
        <v>93</v>
      </c>
      <c r="C135">
        <v>69</v>
      </c>
      <c r="D135" t="s">
        <v>60</v>
      </c>
      <c r="E135" t="s">
        <v>365</v>
      </c>
      <c r="F135">
        <v>13</v>
      </c>
      <c r="K135" t="s">
        <v>60</v>
      </c>
      <c r="L135">
        <v>29</v>
      </c>
      <c r="M135" t="s">
        <v>61</v>
      </c>
    </row>
    <row r="136" spans="1:13" x14ac:dyDescent="0.2">
      <c r="A136" s="1" t="s">
        <v>93</v>
      </c>
      <c r="C136">
        <v>43</v>
      </c>
      <c r="D136" t="s">
        <v>364</v>
      </c>
      <c r="E136">
        <v>1</v>
      </c>
      <c r="F136">
        <v>6</v>
      </c>
      <c r="K136" t="s">
        <v>60</v>
      </c>
      <c r="L136">
        <v>29</v>
      </c>
      <c r="M136" t="s">
        <v>61</v>
      </c>
    </row>
    <row r="137" spans="1:13" x14ac:dyDescent="0.2">
      <c r="A137" s="1" t="s">
        <v>93</v>
      </c>
      <c r="C137">
        <v>39</v>
      </c>
      <c r="D137" t="s">
        <v>60</v>
      </c>
      <c r="E137">
        <v>1</v>
      </c>
      <c r="F137">
        <v>16</v>
      </c>
      <c r="K137" t="s">
        <v>60</v>
      </c>
      <c r="L137">
        <v>5</v>
      </c>
      <c r="M137" t="s">
        <v>64</v>
      </c>
    </row>
    <row r="138" spans="1:13" x14ac:dyDescent="0.2">
      <c r="A138" s="1" t="s">
        <v>93</v>
      </c>
      <c r="C138">
        <v>69</v>
      </c>
      <c r="D138" t="s">
        <v>60</v>
      </c>
      <c r="E138">
        <v>1</v>
      </c>
      <c r="F138">
        <v>12</v>
      </c>
      <c r="K138" t="s">
        <v>60</v>
      </c>
      <c r="L138">
        <v>5</v>
      </c>
      <c r="M138" t="s">
        <v>64</v>
      </c>
    </row>
    <row r="139" spans="1:13" x14ac:dyDescent="0.2">
      <c r="A139" s="1" t="s">
        <v>93</v>
      </c>
      <c r="C139">
        <v>72</v>
      </c>
      <c r="D139" t="s">
        <v>364</v>
      </c>
      <c r="E139" t="s">
        <v>365</v>
      </c>
      <c r="F139">
        <v>16</v>
      </c>
      <c r="K139" t="s">
        <v>60</v>
      </c>
      <c r="L139">
        <v>15</v>
      </c>
      <c r="M139" t="s">
        <v>64</v>
      </c>
    </row>
    <row r="140" spans="1:13" x14ac:dyDescent="0.2">
      <c r="A140" s="1" t="s">
        <v>93</v>
      </c>
      <c r="C140">
        <v>69</v>
      </c>
      <c r="D140" t="s">
        <v>364</v>
      </c>
      <c r="E140" t="s">
        <v>365</v>
      </c>
      <c r="F140">
        <v>6</v>
      </c>
      <c r="K140" t="s">
        <v>60</v>
      </c>
      <c r="L140">
        <v>15</v>
      </c>
      <c r="M140" t="s">
        <v>64</v>
      </c>
    </row>
    <row r="141" spans="1:13" x14ac:dyDescent="0.2">
      <c r="A141" s="1" t="s">
        <v>93</v>
      </c>
      <c r="C141">
        <v>67</v>
      </c>
      <c r="D141" t="s">
        <v>364</v>
      </c>
      <c r="E141" t="s">
        <v>365</v>
      </c>
      <c r="F141">
        <v>13</v>
      </c>
      <c r="K141" t="s">
        <v>60</v>
      </c>
      <c r="L141">
        <v>23</v>
      </c>
      <c r="M141" t="s">
        <v>64</v>
      </c>
    </row>
    <row r="142" spans="1:13" x14ac:dyDescent="0.2">
      <c r="A142" s="1" t="s">
        <v>93</v>
      </c>
      <c r="C142">
        <v>52</v>
      </c>
      <c r="D142" t="s">
        <v>364</v>
      </c>
      <c r="E142" t="s">
        <v>365</v>
      </c>
      <c r="F142">
        <v>6</v>
      </c>
      <c r="K142" t="s">
        <v>60</v>
      </c>
      <c r="L142">
        <v>19.5</v>
      </c>
      <c r="M142" t="s">
        <v>64</v>
      </c>
    </row>
    <row r="143" spans="1:13" x14ac:dyDescent="0.2">
      <c r="A143" s="1" t="s">
        <v>93</v>
      </c>
      <c r="C143">
        <v>67</v>
      </c>
      <c r="D143" t="s">
        <v>60</v>
      </c>
      <c r="E143">
        <v>7</v>
      </c>
      <c r="F143">
        <v>8</v>
      </c>
      <c r="K143" t="s">
        <v>60</v>
      </c>
      <c r="L143">
        <v>28.5</v>
      </c>
      <c r="M143" t="s">
        <v>64</v>
      </c>
    </row>
    <row r="144" spans="1:13" x14ac:dyDescent="0.2">
      <c r="A144" s="1" t="s">
        <v>93</v>
      </c>
      <c r="C144">
        <v>47</v>
      </c>
      <c r="D144" t="s">
        <v>364</v>
      </c>
      <c r="E144" t="s">
        <v>365</v>
      </c>
      <c r="F144">
        <v>4</v>
      </c>
      <c r="K144" t="s">
        <v>60</v>
      </c>
      <c r="L144">
        <v>28.5</v>
      </c>
      <c r="M144" t="s">
        <v>64</v>
      </c>
    </row>
    <row r="145" spans="1:13" x14ac:dyDescent="0.2">
      <c r="A145" s="1" t="s">
        <v>93</v>
      </c>
      <c r="C145">
        <v>60</v>
      </c>
      <c r="D145" t="s">
        <v>364</v>
      </c>
      <c r="E145">
        <v>4</v>
      </c>
      <c r="F145">
        <v>9</v>
      </c>
      <c r="K145" t="s">
        <v>60</v>
      </c>
      <c r="L145">
        <v>44</v>
      </c>
      <c r="M145" t="s">
        <v>64</v>
      </c>
    </row>
    <row r="146" spans="1:13" x14ac:dyDescent="0.2">
      <c r="A146" s="1" t="s">
        <v>93</v>
      </c>
      <c r="C146">
        <v>55</v>
      </c>
      <c r="D146" t="s">
        <v>364</v>
      </c>
      <c r="E146">
        <v>1</v>
      </c>
      <c r="F146">
        <v>3</v>
      </c>
      <c r="K146" t="s">
        <v>60</v>
      </c>
      <c r="L146">
        <v>52</v>
      </c>
      <c r="M146" t="s">
        <v>64</v>
      </c>
    </row>
    <row r="147" spans="1:13" x14ac:dyDescent="0.2">
      <c r="A147" s="1" t="s">
        <v>93</v>
      </c>
      <c r="C147">
        <v>59</v>
      </c>
      <c r="D147" t="s">
        <v>364</v>
      </c>
      <c r="E147" t="s">
        <v>365</v>
      </c>
      <c r="F147">
        <v>12</v>
      </c>
      <c r="K147" t="s">
        <v>60</v>
      </c>
      <c r="L147">
        <v>56.5</v>
      </c>
      <c r="M147" t="s">
        <v>64</v>
      </c>
    </row>
    <row r="148" spans="1:13" x14ac:dyDescent="0.2">
      <c r="A148" s="1" t="s">
        <v>93</v>
      </c>
      <c r="C148">
        <v>12</v>
      </c>
      <c r="D148" t="s">
        <v>60</v>
      </c>
      <c r="E148" t="s">
        <v>365</v>
      </c>
      <c r="F148">
        <v>8</v>
      </c>
      <c r="K148" t="s">
        <v>60</v>
      </c>
      <c r="L148">
        <v>71</v>
      </c>
      <c r="M148" t="s">
        <v>64</v>
      </c>
    </row>
    <row r="149" spans="1:13" x14ac:dyDescent="0.2">
      <c r="A149" s="1" t="s">
        <v>93</v>
      </c>
      <c r="C149">
        <v>77</v>
      </c>
      <c r="D149" t="s">
        <v>60</v>
      </c>
      <c r="E149" t="s">
        <v>365</v>
      </c>
      <c r="F149">
        <v>8</v>
      </c>
      <c r="K149" t="s">
        <v>60</v>
      </c>
      <c r="L149">
        <v>77</v>
      </c>
      <c r="M149" t="s">
        <v>64</v>
      </c>
    </row>
    <row r="150" spans="1:13" x14ac:dyDescent="0.2">
      <c r="A150" s="1" t="s">
        <v>93</v>
      </c>
      <c r="C150">
        <v>49</v>
      </c>
      <c r="D150" t="s">
        <v>60</v>
      </c>
      <c r="E150" t="s">
        <v>365</v>
      </c>
      <c r="F150">
        <v>10</v>
      </c>
      <c r="K150" t="s">
        <v>63</v>
      </c>
      <c r="L150">
        <v>23</v>
      </c>
      <c r="M150" t="s">
        <v>64</v>
      </c>
    </row>
    <row r="151" spans="1:13" x14ac:dyDescent="0.2">
      <c r="A151" s="1" t="s">
        <v>93</v>
      </c>
      <c r="C151">
        <v>49</v>
      </c>
      <c r="D151" t="s">
        <v>370</v>
      </c>
      <c r="E151" t="s">
        <v>365</v>
      </c>
      <c r="F151">
        <v>9</v>
      </c>
      <c r="K151" t="s">
        <v>63</v>
      </c>
      <c r="L151">
        <v>15</v>
      </c>
      <c r="M151" t="s">
        <v>64</v>
      </c>
    </row>
    <row r="152" spans="1:13" x14ac:dyDescent="0.2">
      <c r="A152" s="1" t="s">
        <v>93</v>
      </c>
      <c r="C152">
        <v>53</v>
      </c>
      <c r="D152" t="s">
        <v>364</v>
      </c>
      <c r="E152" t="s">
        <v>365</v>
      </c>
      <c r="F152">
        <v>15</v>
      </c>
      <c r="K152" t="s">
        <v>63</v>
      </c>
      <c r="L152">
        <v>23</v>
      </c>
      <c r="M152" t="s">
        <v>64</v>
      </c>
    </row>
    <row r="153" spans="1:13" x14ac:dyDescent="0.2">
      <c r="A153" s="1" t="s">
        <v>96</v>
      </c>
      <c r="C153">
        <v>94</v>
      </c>
      <c r="D153" t="s">
        <v>60</v>
      </c>
      <c r="E153">
        <v>3</v>
      </c>
      <c r="F153">
        <v>10</v>
      </c>
      <c r="K153" t="s">
        <v>60</v>
      </c>
      <c r="L153">
        <v>29</v>
      </c>
      <c r="M153" t="s">
        <v>64</v>
      </c>
    </row>
    <row r="154" spans="1:13" x14ac:dyDescent="0.2">
      <c r="A154" s="1" t="s">
        <v>96</v>
      </c>
      <c r="C154">
        <v>72</v>
      </c>
      <c r="D154" t="s">
        <v>60</v>
      </c>
      <c r="E154" t="s">
        <v>365</v>
      </c>
      <c r="F154">
        <v>10</v>
      </c>
      <c r="K154" t="s">
        <v>60</v>
      </c>
      <c r="L154">
        <v>61</v>
      </c>
      <c r="M154" t="s">
        <v>64</v>
      </c>
    </row>
    <row r="155" spans="1:13" x14ac:dyDescent="0.2">
      <c r="A155" s="1" t="s">
        <v>96</v>
      </c>
      <c r="C155">
        <v>34</v>
      </c>
      <c r="D155" t="s">
        <v>60</v>
      </c>
      <c r="E155" t="s">
        <v>365</v>
      </c>
      <c r="F155">
        <v>8</v>
      </c>
      <c r="K155" t="s">
        <v>60</v>
      </c>
      <c r="L155">
        <v>63.5</v>
      </c>
      <c r="M155" t="s">
        <v>64</v>
      </c>
    </row>
    <row r="156" spans="1:13" x14ac:dyDescent="0.2">
      <c r="A156" s="1" t="s">
        <v>96</v>
      </c>
      <c r="C156">
        <v>96</v>
      </c>
      <c r="D156" t="s">
        <v>60</v>
      </c>
      <c r="E156">
        <v>2</v>
      </c>
      <c r="F156">
        <v>10</v>
      </c>
      <c r="K156" t="s">
        <v>63</v>
      </c>
      <c r="L156">
        <v>7</v>
      </c>
      <c r="M156" t="s">
        <v>61</v>
      </c>
    </row>
    <row r="157" spans="1:13" x14ac:dyDescent="0.2">
      <c r="A157" s="1" t="s">
        <v>96</v>
      </c>
      <c r="C157">
        <v>39</v>
      </c>
      <c r="D157" t="s">
        <v>60</v>
      </c>
      <c r="E157" t="s">
        <v>365</v>
      </c>
      <c r="F157">
        <v>10</v>
      </c>
      <c r="K157" t="s">
        <v>63</v>
      </c>
      <c r="L157">
        <v>48.5</v>
      </c>
      <c r="M157" t="s">
        <v>61</v>
      </c>
    </row>
    <row r="158" spans="1:13" x14ac:dyDescent="0.2">
      <c r="A158" s="1" t="s">
        <v>96</v>
      </c>
      <c r="C158">
        <v>78</v>
      </c>
      <c r="D158" t="s">
        <v>60</v>
      </c>
      <c r="E158">
        <v>6</v>
      </c>
      <c r="F158">
        <v>14</v>
      </c>
      <c r="K158" t="s">
        <v>63</v>
      </c>
      <c r="L158">
        <v>12</v>
      </c>
      <c r="M158" t="s">
        <v>64</v>
      </c>
    </row>
    <row r="159" spans="1:13" x14ac:dyDescent="0.2">
      <c r="A159" s="1" t="s">
        <v>99</v>
      </c>
      <c r="C159">
        <v>66</v>
      </c>
      <c r="D159" t="s">
        <v>60</v>
      </c>
      <c r="F159">
        <v>4</v>
      </c>
      <c r="K159" t="s">
        <v>63</v>
      </c>
      <c r="L159">
        <v>83.5</v>
      </c>
      <c r="M159" t="s">
        <v>61</v>
      </c>
    </row>
    <row r="160" spans="1:13" x14ac:dyDescent="0.2">
      <c r="A160" s="1" t="s">
        <v>99</v>
      </c>
      <c r="C160">
        <v>66</v>
      </c>
      <c r="D160" t="s">
        <v>60</v>
      </c>
      <c r="E160" t="s">
        <v>379</v>
      </c>
      <c r="F160">
        <v>10</v>
      </c>
      <c r="K160" t="s">
        <v>63</v>
      </c>
      <c r="L160">
        <v>83.5</v>
      </c>
      <c r="M160" t="s">
        <v>61</v>
      </c>
    </row>
    <row r="161" spans="1:13" x14ac:dyDescent="0.2">
      <c r="A161" s="1" t="s">
        <v>99</v>
      </c>
      <c r="C161">
        <v>40</v>
      </c>
      <c r="D161" t="s">
        <v>60</v>
      </c>
      <c r="E161">
        <v>2</v>
      </c>
      <c r="F161">
        <v>20</v>
      </c>
      <c r="K161" t="s">
        <v>63</v>
      </c>
      <c r="L161">
        <v>85</v>
      </c>
      <c r="M161" t="s">
        <v>61</v>
      </c>
    </row>
    <row r="162" spans="1:13" x14ac:dyDescent="0.2">
      <c r="A162" s="1" t="s">
        <v>99</v>
      </c>
      <c r="C162">
        <v>56</v>
      </c>
      <c r="D162" t="s">
        <v>60</v>
      </c>
      <c r="E162" t="s">
        <v>365</v>
      </c>
      <c r="F162">
        <v>8</v>
      </c>
      <c r="K162" t="s">
        <v>63</v>
      </c>
      <c r="L162">
        <v>79</v>
      </c>
      <c r="M162" t="s">
        <v>61</v>
      </c>
    </row>
    <row r="163" spans="1:13" x14ac:dyDescent="0.2">
      <c r="A163" s="1" t="s">
        <v>99</v>
      </c>
      <c r="C163">
        <v>60</v>
      </c>
      <c r="D163" t="s">
        <v>364</v>
      </c>
      <c r="E163">
        <v>3</v>
      </c>
      <c r="F163">
        <v>8</v>
      </c>
      <c r="K163" t="s">
        <v>63</v>
      </c>
      <c r="L163">
        <v>24.5</v>
      </c>
      <c r="M163" t="s">
        <v>61</v>
      </c>
    </row>
    <row r="164" spans="1:13" x14ac:dyDescent="0.2">
      <c r="A164" s="1" t="s">
        <v>99</v>
      </c>
      <c r="C164">
        <v>39</v>
      </c>
      <c r="D164" t="s">
        <v>60</v>
      </c>
      <c r="E164">
        <v>4</v>
      </c>
      <c r="F164">
        <v>15</v>
      </c>
      <c r="K164" t="s">
        <v>63</v>
      </c>
      <c r="L164">
        <v>15</v>
      </c>
      <c r="M164" t="s">
        <v>61</v>
      </c>
    </row>
    <row r="165" spans="1:13" x14ac:dyDescent="0.2">
      <c r="A165" s="1" t="s">
        <v>99</v>
      </c>
      <c r="C165">
        <v>30</v>
      </c>
      <c r="D165" t="s">
        <v>60</v>
      </c>
      <c r="E165" t="s">
        <v>365</v>
      </c>
      <c r="F165">
        <v>7</v>
      </c>
      <c r="K165" t="s">
        <v>63</v>
      </c>
      <c r="L165">
        <v>18.5</v>
      </c>
      <c r="M165" t="s">
        <v>61</v>
      </c>
    </row>
    <row r="166" spans="1:13" x14ac:dyDescent="0.2">
      <c r="A166" s="1" t="s">
        <v>99</v>
      </c>
      <c r="C166">
        <v>84</v>
      </c>
      <c r="D166" t="s">
        <v>364</v>
      </c>
      <c r="E166">
        <v>6</v>
      </c>
      <c r="F166">
        <v>8</v>
      </c>
      <c r="K166" t="s">
        <v>63</v>
      </c>
      <c r="L166">
        <v>24</v>
      </c>
      <c r="M166" t="s">
        <v>61</v>
      </c>
    </row>
    <row r="167" spans="1:13" x14ac:dyDescent="0.2">
      <c r="A167" s="1" t="s">
        <v>99</v>
      </c>
      <c r="C167">
        <v>43</v>
      </c>
      <c r="D167" t="s">
        <v>60</v>
      </c>
      <c r="E167" t="s">
        <v>365</v>
      </c>
      <c r="F167">
        <v>4</v>
      </c>
      <c r="K167" t="s">
        <v>63</v>
      </c>
      <c r="L167">
        <v>11</v>
      </c>
      <c r="M167" t="s">
        <v>61</v>
      </c>
    </row>
    <row r="168" spans="1:13" x14ac:dyDescent="0.2">
      <c r="A168" s="1" t="s">
        <v>103</v>
      </c>
      <c r="C168">
        <v>38</v>
      </c>
      <c r="D168" t="s">
        <v>60</v>
      </c>
      <c r="E168" t="s">
        <v>365</v>
      </c>
      <c r="F168">
        <v>8</v>
      </c>
      <c r="K168" t="s">
        <v>63</v>
      </c>
      <c r="L168">
        <v>84.5</v>
      </c>
      <c r="M168" t="s">
        <v>61</v>
      </c>
    </row>
    <row r="169" spans="1:13" x14ac:dyDescent="0.2">
      <c r="A169" s="1" t="s">
        <v>103</v>
      </c>
      <c r="C169">
        <v>24</v>
      </c>
      <c r="D169" t="s">
        <v>364</v>
      </c>
      <c r="E169">
        <v>8</v>
      </c>
      <c r="F169">
        <v>15</v>
      </c>
      <c r="K169" t="s">
        <v>60</v>
      </c>
      <c r="L169">
        <v>28</v>
      </c>
      <c r="M169" t="s">
        <v>64</v>
      </c>
    </row>
    <row r="170" spans="1:13" x14ac:dyDescent="0.2">
      <c r="A170" s="1" t="s">
        <v>103</v>
      </c>
      <c r="C170">
        <v>21</v>
      </c>
      <c r="D170" t="s">
        <v>60</v>
      </c>
      <c r="E170" t="s">
        <v>365</v>
      </c>
      <c r="F170">
        <v>6</v>
      </c>
      <c r="K170" t="s">
        <v>60</v>
      </c>
      <c r="L170">
        <v>17</v>
      </c>
      <c r="M170" t="s">
        <v>64</v>
      </c>
    </row>
    <row r="171" spans="1:13" x14ac:dyDescent="0.2">
      <c r="A171" s="1" t="s">
        <v>120</v>
      </c>
      <c r="C171">
        <v>68</v>
      </c>
      <c r="D171" t="s">
        <v>364</v>
      </c>
      <c r="E171" t="s">
        <v>365</v>
      </c>
      <c r="F171">
        <v>10</v>
      </c>
      <c r="K171" t="s">
        <v>60</v>
      </c>
      <c r="L171">
        <v>82.5</v>
      </c>
      <c r="M171" t="s">
        <v>61</v>
      </c>
    </row>
    <row r="172" spans="1:13" x14ac:dyDescent="0.2">
      <c r="A172" s="1" t="s">
        <v>120</v>
      </c>
      <c r="C172">
        <v>79</v>
      </c>
      <c r="D172" t="s">
        <v>60</v>
      </c>
      <c r="E172" t="s">
        <v>379</v>
      </c>
      <c r="F172">
        <v>14</v>
      </c>
      <c r="K172" t="s">
        <v>60</v>
      </c>
      <c r="L172">
        <v>69.5</v>
      </c>
      <c r="M172" t="s">
        <v>61</v>
      </c>
    </row>
    <row r="173" spans="1:13" x14ac:dyDescent="0.2">
      <c r="A173" s="1" t="s">
        <v>120</v>
      </c>
      <c r="C173">
        <v>79</v>
      </c>
      <c r="D173" t="s">
        <v>60</v>
      </c>
      <c r="E173" t="s">
        <v>379</v>
      </c>
      <c r="F173">
        <v>14</v>
      </c>
      <c r="K173" t="s">
        <v>60</v>
      </c>
      <c r="L173">
        <v>69.5</v>
      </c>
      <c r="M173" t="s">
        <v>61</v>
      </c>
    </row>
    <row r="174" spans="1:13" x14ac:dyDescent="0.2">
      <c r="A174" s="1" t="s">
        <v>120</v>
      </c>
      <c r="C174">
        <v>48</v>
      </c>
      <c r="D174" t="s">
        <v>373</v>
      </c>
      <c r="E174" t="s">
        <v>365</v>
      </c>
      <c r="K174" t="s">
        <v>60</v>
      </c>
      <c r="L174">
        <v>53</v>
      </c>
      <c r="M174" t="s">
        <v>61</v>
      </c>
    </row>
    <row r="175" spans="1:13" x14ac:dyDescent="0.2">
      <c r="A175" s="1" t="s">
        <v>120</v>
      </c>
      <c r="C175">
        <v>58</v>
      </c>
      <c r="D175" t="s">
        <v>364</v>
      </c>
      <c r="E175">
        <v>5</v>
      </c>
      <c r="F175">
        <v>14</v>
      </c>
      <c r="K175" t="s">
        <v>60</v>
      </c>
      <c r="L175">
        <v>50</v>
      </c>
      <c r="M175" t="s">
        <v>61</v>
      </c>
    </row>
    <row r="176" spans="1:13" x14ac:dyDescent="0.2">
      <c r="A176" s="1" t="s">
        <v>120</v>
      </c>
      <c r="C176">
        <v>39</v>
      </c>
      <c r="D176" t="s">
        <v>60</v>
      </c>
      <c r="E176">
        <v>2</v>
      </c>
      <c r="F176">
        <v>16</v>
      </c>
      <c r="K176" t="s">
        <v>60</v>
      </c>
      <c r="L176">
        <v>21</v>
      </c>
      <c r="M176" t="s">
        <v>64</v>
      </c>
    </row>
    <row r="177" spans="1:13" x14ac:dyDescent="0.2">
      <c r="A177" s="1" t="s">
        <v>120</v>
      </c>
      <c r="C177">
        <v>39</v>
      </c>
      <c r="D177" t="s">
        <v>60</v>
      </c>
      <c r="E177">
        <v>6</v>
      </c>
      <c r="F177">
        <v>6</v>
      </c>
      <c r="K177" t="s">
        <v>60</v>
      </c>
      <c r="L177">
        <v>21</v>
      </c>
      <c r="M177" t="s">
        <v>64</v>
      </c>
    </row>
    <row r="178" spans="1:13" x14ac:dyDescent="0.2">
      <c r="A178" s="1" t="s">
        <v>120</v>
      </c>
      <c r="C178">
        <v>52</v>
      </c>
      <c r="D178" t="s">
        <v>60</v>
      </c>
      <c r="E178" t="s">
        <v>365</v>
      </c>
      <c r="F178">
        <v>10</v>
      </c>
      <c r="K178" t="s">
        <v>60</v>
      </c>
      <c r="L178">
        <v>21</v>
      </c>
      <c r="M178" t="s">
        <v>64</v>
      </c>
    </row>
    <row r="179" spans="1:13" x14ac:dyDescent="0.2">
      <c r="A179" s="1" t="s">
        <v>120</v>
      </c>
      <c r="C179">
        <v>68</v>
      </c>
      <c r="D179" t="s">
        <v>60</v>
      </c>
      <c r="E179" t="s">
        <v>365</v>
      </c>
      <c r="F179">
        <v>10</v>
      </c>
      <c r="K179" t="s">
        <v>60</v>
      </c>
      <c r="L179">
        <v>4</v>
      </c>
      <c r="M179" t="s">
        <v>64</v>
      </c>
    </row>
    <row r="180" spans="1:13" x14ac:dyDescent="0.2">
      <c r="A180" s="1" t="s">
        <v>120</v>
      </c>
      <c r="C180">
        <v>40</v>
      </c>
      <c r="D180" t="s">
        <v>60</v>
      </c>
      <c r="E180">
        <v>7</v>
      </c>
      <c r="F180">
        <v>10</v>
      </c>
      <c r="K180" t="s">
        <v>60</v>
      </c>
      <c r="L180">
        <v>4</v>
      </c>
      <c r="M180" t="s">
        <v>64</v>
      </c>
    </row>
    <row r="181" spans="1:13" x14ac:dyDescent="0.2">
      <c r="A181" s="1" t="s">
        <v>120</v>
      </c>
      <c r="C181">
        <v>53</v>
      </c>
      <c r="D181" t="s">
        <v>364</v>
      </c>
      <c r="E181">
        <v>2</v>
      </c>
      <c r="F181">
        <v>10</v>
      </c>
      <c r="K181" t="s">
        <v>64</v>
      </c>
      <c r="L181">
        <v>0</v>
      </c>
      <c r="M181" t="s">
        <v>60</v>
      </c>
    </row>
    <row r="182" spans="1:13" x14ac:dyDescent="0.2">
      <c r="A182" s="1" t="s">
        <v>120</v>
      </c>
      <c r="C182">
        <v>53</v>
      </c>
      <c r="D182" t="s">
        <v>364</v>
      </c>
      <c r="E182" t="s">
        <v>365</v>
      </c>
      <c r="F182">
        <v>4</v>
      </c>
      <c r="K182" t="s">
        <v>64</v>
      </c>
      <c r="L182">
        <v>0</v>
      </c>
      <c r="M182" t="s">
        <v>60</v>
      </c>
    </row>
    <row r="183" spans="1:13" x14ac:dyDescent="0.2">
      <c r="A183" s="1" t="s">
        <v>120</v>
      </c>
      <c r="C183">
        <v>18</v>
      </c>
      <c r="D183" t="s">
        <v>370</v>
      </c>
      <c r="E183" t="s">
        <v>365</v>
      </c>
      <c r="F183">
        <v>9</v>
      </c>
      <c r="K183" t="s">
        <v>63</v>
      </c>
      <c r="L183">
        <v>32.5</v>
      </c>
      <c r="M183" t="s">
        <v>64</v>
      </c>
    </row>
    <row r="184" spans="1:13" x14ac:dyDescent="0.2">
      <c r="A184" s="1" t="s">
        <v>120</v>
      </c>
      <c r="C184">
        <v>25</v>
      </c>
      <c r="D184" t="s">
        <v>60</v>
      </c>
      <c r="E184">
        <v>5</v>
      </c>
      <c r="F184">
        <v>12</v>
      </c>
      <c r="K184" t="s">
        <v>63</v>
      </c>
      <c r="L184">
        <v>49.5</v>
      </c>
      <c r="M184" t="s">
        <v>61</v>
      </c>
    </row>
    <row r="185" spans="1:13" x14ac:dyDescent="0.2">
      <c r="A185" s="1" t="s">
        <v>120</v>
      </c>
      <c r="C185">
        <v>40</v>
      </c>
      <c r="D185" t="s">
        <v>364</v>
      </c>
      <c r="E185">
        <v>6</v>
      </c>
      <c r="F185">
        <v>12</v>
      </c>
      <c r="K185" t="s">
        <v>63</v>
      </c>
      <c r="L185">
        <v>30</v>
      </c>
      <c r="M185" t="s">
        <v>61</v>
      </c>
    </row>
    <row r="186" spans="1:13" x14ac:dyDescent="0.2">
      <c r="A186" s="1" t="s">
        <v>123</v>
      </c>
      <c r="B186">
        <v>242</v>
      </c>
      <c r="C186">
        <v>17</v>
      </c>
      <c r="D186" t="s">
        <v>364</v>
      </c>
      <c r="E186">
        <v>8</v>
      </c>
      <c r="F186">
        <v>6</v>
      </c>
    </row>
    <row r="187" spans="1:13" x14ac:dyDescent="0.2">
      <c r="A187" s="1" t="s">
        <v>123</v>
      </c>
      <c r="B187">
        <v>255</v>
      </c>
      <c r="C187">
        <v>26</v>
      </c>
      <c r="D187" t="s">
        <v>60</v>
      </c>
      <c r="E187" t="s">
        <v>365</v>
      </c>
      <c r="F187">
        <v>6</v>
      </c>
    </row>
    <row r="188" spans="1:13" x14ac:dyDescent="0.2">
      <c r="A188" s="1" t="s">
        <v>123</v>
      </c>
      <c r="B188">
        <v>341</v>
      </c>
      <c r="C188">
        <v>72</v>
      </c>
      <c r="D188" t="s">
        <v>60</v>
      </c>
      <c r="E188" t="s">
        <v>365</v>
      </c>
      <c r="F188">
        <v>8</v>
      </c>
    </row>
    <row r="189" spans="1:13" x14ac:dyDescent="0.2">
      <c r="A189" s="1" t="s">
        <v>123</v>
      </c>
      <c r="B189">
        <v>335</v>
      </c>
      <c r="C189">
        <v>72</v>
      </c>
      <c r="D189" t="s">
        <v>60</v>
      </c>
      <c r="E189">
        <v>2</v>
      </c>
      <c r="F189">
        <v>12</v>
      </c>
    </row>
    <row r="190" spans="1:13" x14ac:dyDescent="0.2">
      <c r="A190" s="1" t="s">
        <v>123</v>
      </c>
      <c r="B190">
        <v>330</v>
      </c>
      <c r="C190">
        <v>71</v>
      </c>
      <c r="D190" t="s">
        <v>364</v>
      </c>
      <c r="E190">
        <v>3</v>
      </c>
      <c r="F190">
        <v>10</v>
      </c>
    </row>
    <row r="191" spans="1:13" x14ac:dyDescent="0.2">
      <c r="A191" s="1" t="s">
        <v>123</v>
      </c>
      <c r="B191">
        <v>16</v>
      </c>
      <c r="C191">
        <v>38</v>
      </c>
      <c r="D191" t="s">
        <v>364</v>
      </c>
      <c r="E191">
        <v>10</v>
      </c>
      <c r="F191">
        <v>8</v>
      </c>
    </row>
    <row r="192" spans="1:13" x14ac:dyDescent="0.2">
      <c r="A192" s="1" t="s">
        <v>123</v>
      </c>
      <c r="B192">
        <v>352</v>
      </c>
      <c r="C192">
        <v>62</v>
      </c>
      <c r="D192" t="s">
        <v>373</v>
      </c>
      <c r="E192" t="s">
        <v>365</v>
      </c>
    </row>
    <row r="193" spans="1:6" x14ac:dyDescent="0.2">
      <c r="A193" s="1" t="s">
        <v>123</v>
      </c>
      <c r="B193">
        <v>355</v>
      </c>
      <c r="C193">
        <v>69</v>
      </c>
      <c r="D193" t="s">
        <v>60</v>
      </c>
      <c r="E193" t="s">
        <v>365</v>
      </c>
      <c r="F193">
        <v>6</v>
      </c>
    </row>
    <row r="194" spans="1:6" x14ac:dyDescent="0.2">
      <c r="A194" s="1" t="s">
        <v>123</v>
      </c>
      <c r="B194">
        <v>17</v>
      </c>
      <c r="C194">
        <v>67</v>
      </c>
      <c r="D194" t="s">
        <v>364</v>
      </c>
      <c r="E194" t="s">
        <v>365</v>
      </c>
      <c r="F194">
        <v>5</v>
      </c>
    </row>
    <row r="195" spans="1:6" x14ac:dyDescent="0.2">
      <c r="A195" s="1" t="s">
        <v>123</v>
      </c>
      <c r="B195">
        <v>34</v>
      </c>
      <c r="C195">
        <v>64</v>
      </c>
      <c r="D195" t="s">
        <v>364</v>
      </c>
      <c r="E195" t="s">
        <v>365</v>
      </c>
      <c r="F195">
        <v>5</v>
      </c>
    </row>
    <row r="196" spans="1:6" x14ac:dyDescent="0.2">
      <c r="A196" s="1" t="s">
        <v>123</v>
      </c>
      <c r="B196">
        <v>38</v>
      </c>
      <c r="C196">
        <v>67</v>
      </c>
      <c r="D196" t="s">
        <v>60</v>
      </c>
      <c r="E196">
        <v>10</v>
      </c>
      <c r="F196">
        <v>8</v>
      </c>
    </row>
    <row r="197" spans="1:6" x14ac:dyDescent="0.2">
      <c r="A197" s="1" t="s">
        <v>123</v>
      </c>
      <c r="B197">
        <v>29</v>
      </c>
      <c r="C197">
        <v>62</v>
      </c>
      <c r="D197" t="s">
        <v>60</v>
      </c>
      <c r="E197" t="s">
        <v>365</v>
      </c>
      <c r="F197">
        <v>7</v>
      </c>
    </row>
    <row r="198" spans="1:6" x14ac:dyDescent="0.2">
      <c r="A198" s="1" t="s">
        <v>123</v>
      </c>
      <c r="B198">
        <v>25</v>
      </c>
      <c r="C198">
        <v>56</v>
      </c>
      <c r="D198" t="s">
        <v>60</v>
      </c>
      <c r="E198" t="s">
        <v>365</v>
      </c>
      <c r="F198">
        <v>5</v>
      </c>
    </row>
    <row r="199" spans="1:6" x14ac:dyDescent="0.2">
      <c r="A199" s="1" t="s">
        <v>123</v>
      </c>
      <c r="B199">
        <v>47</v>
      </c>
      <c r="C199">
        <v>46</v>
      </c>
      <c r="D199" t="s">
        <v>364</v>
      </c>
      <c r="E199">
        <v>4</v>
      </c>
      <c r="F199">
        <v>7</v>
      </c>
    </row>
    <row r="200" spans="1:6" x14ac:dyDescent="0.2">
      <c r="A200" s="1" t="s">
        <v>123</v>
      </c>
      <c r="B200">
        <v>70</v>
      </c>
      <c r="C200">
        <v>27</v>
      </c>
      <c r="D200" t="s">
        <v>364</v>
      </c>
      <c r="E200">
        <v>3</v>
      </c>
      <c r="F200">
        <v>7</v>
      </c>
    </row>
    <row r="201" spans="1:6" x14ac:dyDescent="0.2">
      <c r="A201" s="1" t="s">
        <v>127</v>
      </c>
      <c r="B201">
        <v>240</v>
      </c>
      <c r="C201">
        <v>8</v>
      </c>
      <c r="D201" t="s">
        <v>364</v>
      </c>
      <c r="E201">
        <v>5</v>
      </c>
    </row>
    <row r="202" spans="1:6" x14ac:dyDescent="0.2">
      <c r="A202" s="1" t="s">
        <v>127</v>
      </c>
      <c r="B202">
        <v>240</v>
      </c>
      <c r="C202">
        <v>8</v>
      </c>
      <c r="D202" t="s">
        <v>60</v>
      </c>
      <c r="E202" t="s">
        <v>365</v>
      </c>
      <c r="F202">
        <v>5</v>
      </c>
    </row>
    <row r="203" spans="1:6" x14ac:dyDescent="0.2">
      <c r="A203" s="1" t="s">
        <v>127</v>
      </c>
      <c r="B203">
        <v>240</v>
      </c>
      <c r="C203">
        <v>13</v>
      </c>
      <c r="D203" t="s">
        <v>373</v>
      </c>
      <c r="E203" t="s">
        <v>365</v>
      </c>
      <c r="F203">
        <v>3</v>
      </c>
    </row>
    <row r="204" spans="1:6" x14ac:dyDescent="0.2">
      <c r="A204" s="1" t="s">
        <v>127</v>
      </c>
      <c r="B204">
        <v>290</v>
      </c>
      <c r="C204">
        <v>69</v>
      </c>
      <c r="D204" t="s">
        <v>373</v>
      </c>
      <c r="E204" t="s">
        <v>365</v>
      </c>
    </row>
    <row r="205" spans="1:6" x14ac:dyDescent="0.2">
      <c r="A205" s="1" t="s">
        <v>127</v>
      </c>
      <c r="B205">
        <v>301</v>
      </c>
      <c r="C205">
        <v>77</v>
      </c>
      <c r="D205" t="s">
        <v>364</v>
      </c>
      <c r="E205">
        <v>8</v>
      </c>
    </row>
    <row r="206" spans="1:6" x14ac:dyDescent="0.2">
      <c r="A206" s="1" t="s">
        <v>127</v>
      </c>
      <c r="B206">
        <v>296</v>
      </c>
      <c r="C206">
        <v>77</v>
      </c>
      <c r="D206" t="s">
        <v>373</v>
      </c>
      <c r="E206" t="s">
        <v>365</v>
      </c>
      <c r="F206">
        <v>8</v>
      </c>
    </row>
    <row r="207" spans="1:6" x14ac:dyDescent="0.2">
      <c r="A207" s="1" t="s">
        <v>127</v>
      </c>
      <c r="B207">
        <v>301</v>
      </c>
      <c r="C207">
        <v>77</v>
      </c>
      <c r="D207" t="s">
        <v>364</v>
      </c>
      <c r="E207" t="s">
        <v>365</v>
      </c>
    </row>
    <row r="208" spans="1:6" x14ac:dyDescent="0.2">
      <c r="A208" s="1" t="s">
        <v>127</v>
      </c>
      <c r="B208">
        <v>291</v>
      </c>
      <c r="C208">
        <v>61</v>
      </c>
      <c r="D208" t="s">
        <v>364</v>
      </c>
      <c r="E208">
        <v>10</v>
      </c>
      <c r="F208">
        <v>6</v>
      </c>
    </row>
    <row r="209" spans="1:6" x14ac:dyDescent="0.2">
      <c r="A209" s="1" t="s">
        <v>127</v>
      </c>
      <c r="B209">
        <v>291</v>
      </c>
      <c r="C209">
        <v>31</v>
      </c>
      <c r="D209" t="s">
        <v>60</v>
      </c>
      <c r="E209" t="s">
        <v>365</v>
      </c>
      <c r="F209">
        <v>6</v>
      </c>
    </row>
    <row r="210" spans="1:6" x14ac:dyDescent="0.2">
      <c r="A210" s="1" t="s">
        <v>127</v>
      </c>
      <c r="B210">
        <v>305</v>
      </c>
      <c r="C210">
        <v>71</v>
      </c>
      <c r="D210" t="s">
        <v>364</v>
      </c>
      <c r="E210" t="s">
        <v>365</v>
      </c>
      <c r="F210">
        <v>6</v>
      </c>
    </row>
    <row r="211" spans="1:6" x14ac:dyDescent="0.2">
      <c r="A211" s="1" t="s">
        <v>127</v>
      </c>
      <c r="B211">
        <v>281</v>
      </c>
      <c r="C211">
        <v>39</v>
      </c>
      <c r="D211" t="s">
        <v>60</v>
      </c>
      <c r="E211">
        <v>8</v>
      </c>
      <c r="F211">
        <v>10</v>
      </c>
    </row>
    <row r="212" spans="1:6" x14ac:dyDescent="0.2">
      <c r="A212" s="1" t="s">
        <v>127</v>
      </c>
      <c r="B212">
        <v>334</v>
      </c>
      <c r="C212">
        <v>74</v>
      </c>
      <c r="D212" t="s">
        <v>364</v>
      </c>
      <c r="E212" t="s">
        <v>365</v>
      </c>
      <c r="F212">
        <v>4</v>
      </c>
    </row>
    <row r="213" spans="1:6" x14ac:dyDescent="0.2">
      <c r="A213" s="1" t="s">
        <v>127</v>
      </c>
      <c r="B213">
        <v>334</v>
      </c>
      <c r="C213">
        <v>25</v>
      </c>
      <c r="D213" t="s">
        <v>373</v>
      </c>
      <c r="E213" t="s">
        <v>365</v>
      </c>
      <c r="F213">
        <v>6</v>
      </c>
    </row>
    <row r="214" spans="1:6" x14ac:dyDescent="0.2">
      <c r="A214" s="1" t="s">
        <v>127</v>
      </c>
      <c r="B214">
        <v>338</v>
      </c>
      <c r="C214">
        <v>79</v>
      </c>
      <c r="D214" t="s">
        <v>60</v>
      </c>
      <c r="E214" t="s">
        <v>365</v>
      </c>
    </row>
    <row r="215" spans="1:6" x14ac:dyDescent="0.2">
      <c r="A215" s="1" t="s">
        <v>127</v>
      </c>
      <c r="B215">
        <v>240</v>
      </c>
      <c r="C215">
        <v>37</v>
      </c>
      <c r="D215" t="s">
        <v>364</v>
      </c>
      <c r="E215">
        <v>5</v>
      </c>
      <c r="F215">
        <v>6</v>
      </c>
    </row>
    <row r="216" spans="1:6" x14ac:dyDescent="0.2">
      <c r="A216" s="1" t="s">
        <v>127</v>
      </c>
      <c r="B216">
        <v>0</v>
      </c>
      <c r="C216">
        <v>97</v>
      </c>
      <c r="D216" t="s">
        <v>364</v>
      </c>
      <c r="E216">
        <v>2</v>
      </c>
      <c r="F216">
        <v>10</v>
      </c>
    </row>
    <row r="217" spans="1:6" x14ac:dyDescent="0.2">
      <c r="A217" s="1" t="s">
        <v>127</v>
      </c>
      <c r="B217">
        <v>11</v>
      </c>
      <c r="C217">
        <v>74</v>
      </c>
      <c r="D217" t="s">
        <v>364</v>
      </c>
      <c r="E217" t="s">
        <v>365</v>
      </c>
      <c r="F217">
        <v>17</v>
      </c>
    </row>
    <row r="218" spans="1:6" x14ac:dyDescent="0.2">
      <c r="A218" s="1" t="s">
        <v>127</v>
      </c>
      <c r="B218">
        <v>356</v>
      </c>
      <c r="C218">
        <v>87</v>
      </c>
      <c r="D218" t="s">
        <v>373</v>
      </c>
      <c r="E218" t="s">
        <v>365</v>
      </c>
      <c r="F218">
        <v>10</v>
      </c>
    </row>
    <row r="219" spans="1:6" x14ac:dyDescent="0.2">
      <c r="A219" s="1" t="s">
        <v>127</v>
      </c>
      <c r="B219">
        <v>5</v>
      </c>
      <c r="C219">
        <v>76</v>
      </c>
      <c r="D219" t="s">
        <v>364</v>
      </c>
      <c r="E219" t="s">
        <v>365</v>
      </c>
      <c r="F219">
        <v>20</v>
      </c>
    </row>
    <row r="220" spans="1:6" x14ac:dyDescent="0.2">
      <c r="A220" s="1" t="s">
        <v>127</v>
      </c>
      <c r="B220">
        <v>351</v>
      </c>
      <c r="C220">
        <v>106</v>
      </c>
      <c r="D220" t="s">
        <v>364</v>
      </c>
      <c r="E220">
        <v>6</v>
      </c>
      <c r="F220">
        <v>3</v>
      </c>
    </row>
    <row r="221" spans="1:6" x14ac:dyDescent="0.2">
      <c r="A221" s="1" t="s">
        <v>127</v>
      </c>
      <c r="B221">
        <v>351</v>
      </c>
      <c r="C221">
        <v>109</v>
      </c>
      <c r="D221" t="s">
        <v>364</v>
      </c>
      <c r="E221" t="s">
        <v>365</v>
      </c>
      <c r="F221">
        <v>6</v>
      </c>
    </row>
    <row r="222" spans="1:6" x14ac:dyDescent="0.2">
      <c r="A222" s="1" t="s">
        <v>127</v>
      </c>
      <c r="B222">
        <v>11</v>
      </c>
      <c r="C222">
        <v>74</v>
      </c>
      <c r="D222" t="s">
        <v>364</v>
      </c>
      <c r="E222" t="s">
        <v>365</v>
      </c>
      <c r="F222">
        <v>6</v>
      </c>
    </row>
    <row r="223" spans="1:6" x14ac:dyDescent="0.2">
      <c r="A223" s="1" t="s">
        <v>127</v>
      </c>
      <c r="B223">
        <v>49</v>
      </c>
      <c r="C223">
        <v>22</v>
      </c>
      <c r="D223" t="s">
        <v>364</v>
      </c>
      <c r="E223">
        <v>5</v>
      </c>
      <c r="F223">
        <v>3</v>
      </c>
    </row>
    <row r="224" spans="1:6" x14ac:dyDescent="0.2">
      <c r="A224" s="1" t="s">
        <v>127</v>
      </c>
      <c r="B224">
        <v>85</v>
      </c>
      <c r="C224">
        <v>19</v>
      </c>
      <c r="D224" t="s">
        <v>364</v>
      </c>
      <c r="E224">
        <v>3</v>
      </c>
      <c r="F224">
        <v>12</v>
      </c>
    </row>
    <row r="225" spans="1:6" x14ac:dyDescent="0.2">
      <c r="A225" s="1" t="s">
        <v>127</v>
      </c>
      <c r="B225">
        <v>57</v>
      </c>
      <c r="C225">
        <v>31</v>
      </c>
      <c r="D225" t="s">
        <v>60</v>
      </c>
      <c r="E225" t="s">
        <v>365</v>
      </c>
      <c r="F225">
        <v>12</v>
      </c>
    </row>
    <row r="226" spans="1:6" x14ac:dyDescent="0.2">
      <c r="A226" s="1" t="s">
        <v>127</v>
      </c>
      <c r="B226">
        <v>67</v>
      </c>
      <c r="C226">
        <v>31</v>
      </c>
      <c r="D226" t="s">
        <v>364</v>
      </c>
      <c r="E226" t="s">
        <v>365</v>
      </c>
      <c r="F226">
        <v>5</v>
      </c>
    </row>
    <row r="227" spans="1:6" x14ac:dyDescent="0.2">
      <c r="A227" s="1" t="s">
        <v>127</v>
      </c>
      <c r="B227">
        <v>77</v>
      </c>
      <c r="C227">
        <v>32</v>
      </c>
      <c r="D227" t="s">
        <v>364</v>
      </c>
      <c r="E227" t="s">
        <v>365</v>
      </c>
      <c r="F227">
        <v>8</v>
      </c>
    </row>
    <row r="228" spans="1:6" x14ac:dyDescent="0.2">
      <c r="A228" s="1" t="s">
        <v>127</v>
      </c>
      <c r="B228">
        <v>122</v>
      </c>
      <c r="C228">
        <v>25</v>
      </c>
      <c r="D228" t="s">
        <v>60</v>
      </c>
      <c r="E228" t="s">
        <v>365</v>
      </c>
      <c r="F228">
        <v>8</v>
      </c>
    </row>
    <row r="229" spans="1:6" x14ac:dyDescent="0.2">
      <c r="A229" s="1" t="s">
        <v>127</v>
      </c>
      <c r="B229">
        <v>125</v>
      </c>
      <c r="C229">
        <v>55</v>
      </c>
      <c r="D229" t="s">
        <v>364</v>
      </c>
      <c r="E229">
        <v>3</v>
      </c>
      <c r="F229">
        <v>10</v>
      </c>
    </row>
    <row r="230" spans="1:6" x14ac:dyDescent="0.2">
      <c r="A230" s="1" t="s">
        <v>127</v>
      </c>
      <c r="B230">
        <v>125</v>
      </c>
      <c r="C230">
        <v>55</v>
      </c>
      <c r="D230" t="s">
        <v>373</v>
      </c>
      <c r="E230" t="s">
        <v>365</v>
      </c>
    </row>
    <row r="231" spans="1:6" x14ac:dyDescent="0.2">
      <c r="A231" s="1" t="s">
        <v>131</v>
      </c>
      <c r="B231">
        <v>16</v>
      </c>
      <c r="C231">
        <v>68</v>
      </c>
      <c r="D231" t="s">
        <v>364</v>
      </c>
      <c r="E231">
        <v>4</v>
      </c>
      <c r="F231">
        <v>16</v>
      </c>
    </row>
    <row r="232" spans="1:6" x14ac:dyDescent="0.2">
      <c r="A232" s="1" t="s">
        <v>131</v>
      </c>
      <c r="B232">
        <v>336</v>
      </c>
      <c r="C232">
        <v>13</v>
      </c>
      <c r="D232" t="s">
        <v>60</v>
      </c>
      <c r="E232">
        <v>1</v>
      </c>
      <c r="F232">
        <v>5</v>
      </c>
    </row>
    <row r="233" spans="1:6" x14ac:dyDescent="0.2">
      <c r="A233" s="1" t="s">
        <v>131</v>
      </c>
      <c r="B233">
        <v>3</v>
      </c>
      <c r="C233">
        <v>9</v>
      </c>
      <c r="D233" t="s">
        <v>60</v>
      </c>
      <c r="E233">
        <v>2</v>
      </c>
      <c r="F233">
        <v>2</v>
      </c>
    </row>
    <row r="234" spans="1:6" x14ac:dyDescent="0.2">
      <c r="A234" s="1" t="s">
        <v>131</v>
      </c>
      <c r="B234">
        <v>3</v>
      </c>
      <c r="C234">
        <v>7</v>
      </c>
      <c r="D234" t="s">
        <v>60</v>
      </c>
      <c r="E234">
        <v>2</v>
      </c>
      <c r="F234">
        <v>12</v>
      </c>
    </row>
    <row r="235" spans="1:6" x14ac:dyDescent="0.2">
      <c r="A235" s="1" t="s">
        <v>131</v>
      </c>
      <c r="B235">
        <v>3</v>
      </c>
      <c r="C235">
        <v>5</v>
      </c>
      <c r="D235" t="s">
        <v>60</v>
      </c>
      <c r="E235">
        <v>2</v>
      </c>
      <c r="F235">
        <v>1</v>
      </c>
    </row>
    <row r="236" spans="1:6" x14ac:dyDescent="0.2">
      <c r="A236" s="1" t="s">
        <v>131</v>
      </c>
      <c r="B236">
        <v>331</v>
      </c>
      <c r="C236">
        <v>54</v>
      </c>
      <c r="D236" t="s">
        <v>395</v>
      </c>
      <c r="E236" t="s">
        <v>379</v>
      </c>
      <c r="F236">
        <v>17</v>
      </c>
    </row>
    <row r="237" spans="1:6" x14ac:dyDescent="0.2">
      <c r="A237" s="1" t="s">
        <v>131</v>
      </c>
      <c r="B237">
        <v>331</v>
      </c>
      <c r="C237">
        <v>66</v>
      </c>
      <c r="D237" t="s">
        <v>395</v>
      </c>
      <c r="E237" t="s">
        <v>379</v>
      </c>
      <c r="F237">
        <v>19</v>
      </c>
    </row>
    <row r="238" spans="1:6" x14ac:dyDescent="0.2">
      <c r="A238" s="1" t="s">
        <v>136</v>
      </c>
      <c r="B238">
        <v>268</v>
      </c>
      <c r="C238">
        <v>24</v>
      </c>
      <c r="D238" t="s">
        <v>60</v>
      </c>
      <c r="E238" t="s">
        <v>379</v>
      </c>
      <c r="F238">
        <v>19</v>
      </c>
    </row>
    <row r="239" spans="1:6" x14ac:dyDescent="0.2">
      <c r="A239" s="1" t="s">
        <v>136</v>
      </c>
      <c r="B239">
        <v>235</v>
      </c>
      <c r="C239">
        <v>24</v>
      </c>
      <c r="D239" t="s">
        <v>60</v>
      </c>
      <c r="E239">
        <v>1</v>
      </c>
      <c r="F239">
        <v>7</v>
      </c>
    </row>
    <row r="240" spans="1:6" x14ac:dyDescent="0.2">
      <c r="A240" s="1" t="s">
        <v>136</v>
      </c>
      <c r="B240">
        <v>217</v>
      </c>
      <c r="C240">
        <v>25</v>
      </c>
      <c r="D240" t="s">
        <v>60</v>
      </c>
      <c r="E240" t="s">
        <v>365</v>
      </c>
      <c r="F240">
        <v>8</v>
      </c>
    </row>
    <row r="241" spans="1:6" x14ac:dyDescent="0.2">
      <c r="A241" s="1" t="s">
        <v>136</v>
      </c>
      <c r="B241">
        <v>217</v>
      </c>
      <c r="C241">
        <v>35</v>
      </c>
      <c r="D241" t="s">
        <v>60</v>
      </c>
      <c r="E241" t="s">
        <v>365</v>
      </c>
      <c r="F241">
        <v>12</v>
      </c>
    </row>
    <row r="242" spans="1:6" x14ac:dyDescent="0.2">
      <c r="A242" s="1" t="s">
        <v>136</v>
      </c>
      <c r="B242">
        <v>201</v>
      </c>
      <c r="C242">
        <v>48</v>
      </c>
      <c r="D242" t="s">
        <v>364</v>
      </c>
      <c r="E242">
        <v>5</v>
      </c>
      <c r="F242">
        <v>5</v>
      </c>
    </row>
    <row r="243" spans="1:6" x14ac:dyDescent="0.2">
      <c r="A243" s="1" t="s">
        <v>136</v>
      </c>
      <c r="B243">
        <v>182</v>
      </c>
      <c r="C243">
        <v>57</v>
      </c>
      <c r="D243" t="s">
        <v>60</v>
      </c>
      <c r="E243">
        <v>10</v>
      </c>
      <c r="F243">
        <v>12</v>
      </c>
    </row>
    <row r="244" spans="1:6" x14ac:dyDescent="0.2">
      <c r="A244" s="1" t="s">
        <v>136</v>
      </c>
      <c r="B244">
        <v>182</v>
      </c>
      <c r="C244">
        <v>71</v>
      </c>
      <c r="D244" t="s">
        <v>60</v>
      </c>
      <c r="E244">
        <v>3</v>
      </c>
      <c r="F244">
        <v>1</v>
      </c>
    </row>
    <row r="245" spans="1:6" x14ac:dyDescent="0.2">
      <c r="A245" s="1" t="s">
        <v>136</v>
      </c>
      <c r="B245">
        <v>122</v>
      </c>
      <c r="C245">
        <v>24</v>
      </c>
      <c r="D245" t="s">
        <v>373</v>
      </c>
      <c r="F245">
        <v>28</v>
      </c>
    </row>
    <row r="246" spans="1:6" x14ac:dyDescent="0.2">
      <c r="A246" s="1" t="s">
        <v>136</v>
      </c>
      <c r="B246">
        <v>110</v>
      </c>
      <c r="C246">
        <v>41</v>
      </c>
      <c r="D246" t="s">
        <v>60</v>
      </c>
      <c r="E246" t="s">
        <v>365</v>
      </c>
      <c r="F246">
        <v>8</v>
      </c>
    </row>
    <row r="247" spans="1:6" x14ac:dyDescent="0.2">
      <c r="A247" s="1" t="s">
        <v>136</v>
      </c>
      <c r="B247">
        <v>118</v>
      </c>
      <c r="C247">
        <v>52</v>
      </c>
      <c r="D247" t="s">
        <v>60</v>
      </c>
      <c r="E247">
        <v>6</v>
      </c>
      <c r="F247">
        <v>10</v>
      </c>
    </row>
    <row r="248" spans="1:6" x14ac:dyDescent="0.2">
      <c r="A248" s="1" t="s">
        <v>136</v>
      </c>
      <c r="B248">
        <v>343</v>
      </c>
      <c r="C248">
        <v>44</v>
      </c>
      <c r="D248" t="s">
        <v>364</v>
      </c>
      <c r="E248">
        <v>4</v>
      </c>
      <c r="F248">
        <v>18</v>
      </c>
    </row>
    <row r="249" spans="1:6" x14ac:dyDescent="0.2">
      <c r="A249" s="1" t="s">
        <v>136</v>
      </c>
      <c r="B249">
        <v>289</v>
      </c>
      <c r="C249">
        <v>58</v>
      </c>
      <c r="D249" t="s">
        <v>364</v>
      </c>
      <c r="E249">
        <v>3</v>
      </c>
      <c r="F249">
        <v>6</v>
      </c>
    </row>
    <row r="250" spans="1:6" x14ac:dyDescent="0.2">
      <c r="A250" s="1" t="s">
        <v>140</v>
      </c>
      <c r="B250">
        <v>64</v>
      </c>
      <c r="C250">
        <v>83</v>
      </c>
      <c r="D250" t="s">
        <v>60</v>
      </c>
      <c r="E250" t="s">
        <v>365</v>
      </c>
      <c r="F250">
        <v>10</v>
      </c>
    </row>
    <row r="251" spans="1:6" x14ac:dyDescent="0.2">
      <c r="A251" s="1" t="s">
        <v>140</v>
      </c>
      <c r="B251">
        <v>93</v>
      </c>
      <c r="C251">
        <v>79</v>
      </c>
      <c r="D251" t="s">
        <v>60</v>
      </c>
      <c r="E251">
        <v>2</v>
      </c>
      <c r="F251">
        <v>13</v>
      </c>
    </row>
    <row r="252" spans="1:6" x14ac:dyDescent="0.2">
      <c r="A252" s="1" t="s">
        <v>140</v>
      </c>
      <c r="B252">
        <v>96</v>
      </c>
      <c r="C252">
        <v>70</v>
      </c>
      <c r="D252" t="s">
        <v>60</v>
      </c>
      <c r="E252">
        <v>2</v>
      </c>
      <c r="F252">
        <v>11</v>
      </c>
    </row>
    <row r="253" spans="1:6" x14ac:dyDescent="0.2">
      <c r="A253" s="1" t="s">
        <v>140</v>
      </c>
      <c r="B253">
        <v>103</v>
      </c>
      <c r="C253">
        <v>68</v>
      </c>
      <c r="D253" t="s">
        <v>364</v>
      </c>
      <c r="E253">
        <v>6</v>
      </c>
      <c r="F253">
        <v>12</v>
      </c>
    </row>
    <row r="254" spans="1:6" x14ac:dyDescent="0.2">
      <c r="A254" s="1" t="s">
        <v>140</v>
      </c>
      <c r="B254">
        <v>79</v>
      </c>
      <c r="C254">
        <v>68</v>
      </c>
      <c r="D254" t="s">
        <v>364</v>
      </c>
      <c r="E254">
        <v>10</v>
      </c>
      <c r="F254">
        <v>8</v>
      </c>
    </row>
    <row r="255" spans="1:6" x14ac:dyDescent="0.2">
      <c r="A255" s="1" t="s">
        <v>140</v>
      </c>
      <c r="B255">
        <v>95</v>
      </c>
      <c r="C255">
        <v>57</v>
      </c>
      <c r="D255" t="s">
        <v>364</v>
      </c>
      <c r="E255" t="s">
        <v>365</v>
      </c>
      <c r="F255">
        <v>12</v>
      </c>
    </row>
    <row r="256" spans="1:6" x14ac:dyDescent="0.2">
      <c r="A256" s="1" t="s">
        <v>140</v>
      </c>
      <c r="B256">
        <v>82</v>
      </c>
      <c r="C256">
        <v>52</v>
      </c>
      <c r="D256" t="s">
        <v>364</v>
      </c>
      <c r="E256">
        <v>10</v>
      </c>
      <c r="F256">
        <v>10</v>
      </c>
    </row>
    <row r="257" spans="1:8" x14ac:dyDescent="0.2">
      <c r="A257" s="1" t="s">
        <v>140</v>
      </c>
      <c r="B257">
        <v>92</v>
      </c>
      <c r="C257">
        <v>49</v>
      </c>
      <c r="D257" t="s">
        <v>60</v>
      </c>
      <c r="E257" t="s">
        <v>365</v>
      </c>
      <c r="F257">
        <v>10</v>
      </c>
    </row>
    <row r="258" spans="1:8" x14ac:dyDescent="0.2">
      <c r="A258" s="1" t="s">
        <v>140</v>
      </c>
      <c r="B258">
        <v>56</v>
      </c>
      <c r="C258">
        <v>22</v>
      </c>
      <c r="D258" t="s">
        <v>364</v>
      </c>
      <c r="E258">
        <v>6</v>
      </c>
      <c r="F258">
        <v>12</v>
      </c>
    </row>
    <row r="259" spans="1:8" x14ac:dyDescent="0.2">
      <c r="A259" s="1" t="s">
        <v>140</v>
      </c>
      <c r="B259">
        <v>32</v>
      </c>
      <c r="C259">
        <v>25</v>
      </c>
      <c r="D259" t="s">
        <v>60</v>
      </c>
      <c r="E259">
        <v>9</v>
      </c>
      <c r="F259">
        <v>12</v>
      </c>
    </row>
    <row r="260" spans="1:8" x14ac:dyDescent="0.2">
      <c r="A260" s="1" t="s">
        <v>140</v>
      </c>
      <c r="B260">
        <v>18</v>
      </c>
      <c r="C260">
        <v>12</v>
      </c>
      <c r="D260" t="s">
        <v>60</v>
      </c>
      <c r="E260" t="s">
        <v>365</v>
      </c>
      <c r="F260">
        <v>8</v>
      </c>
    </row>
    <row r="261" spans="1:8" x14ac:dyDescent="0.2">
      <c r="A261" s="1" t="s">
        <v>140</v>
      </c>
      <c r="B261">
        <v>255</v>
      </c>
      <c r="C261">
        <v>8</v>
      </c>
      <c r="D261" t="s">
        <v>373</v>
      </c>
    </row>
    <row r="262" spans="1:8" x14ac:dyDescent="0.2">
      <c r="A262" s="1" t="s">
        <v>140</v>
      </c>
      <c r="B262">
        <v>173</v>
      </c>
      <c r="C262">
        <v>91</v>
      </c>
      <c r="D262" t="s">
        <v>364</v>
      </c>
      <c r="E262">
        <v>0</v>
      </c>
      <c r="F262">
        <v>6</v>
      </c>
    </row>
    <row r="263" spans="1:8" x14ac:dyDescent="0.2">
      <c r="A263" s="1" t="s">
        <v>140</v>
      </c>
      <c r="B263">
        <v>175</v>
      </c>
      <c r="C263">
        <v>97</v>
      </c>
      <c r="D263" t="s">
        <v>60</v>
      </c>
      <c r="E263">
        <v>2</v>
      </c>
      <c r="F263">
        <v>6</v>
      </c>
    </row>
    <row r="264" spans="1:8" x14ac:dyDescent="0.2">
      <c r="A264" s="1" t="s">
        <v>140</v>
      </c>
      <c r="B264">
        <v>195</v>
      </c>
      <c r="C264">
        <v>55</v>
      </c>
      <c r="D264" t="s">
        <v>364</v>
      </c>
      <c r="E264" t="s">
        <v>365</v>
      </c>
      <c r="F264">
        <v>10</v>
      </c>
    </row>
    <row r="265" spans="1:8" x14ac:dyDescent="0.2">
      <c r="A265" s="1" t="s">
        <v>140</v>
      </c>
      <c r="B265">
        <v>204</v>
      </c>
      <c r="C265">
        <v>55</v>
      </c>
      <c r="D265" t="s">
        <v>364</v>
      </c>
      <c r="E265" t="s">
        <v>379</v>
      </c>
      <c r="F265">
        <v>4</v>
      </c>
      <c r="G265" t="s">
        <v>398</v>
      </c>
      <c r="H265" s="4"/>
    </row>
    <row r="266" spans="1:8" x14ac:dyDescent="0.2">
      <c r="A266" s="1" t="s">
        <v>140</v>
      </c>
      <c r="B266">
        <v>192</v>
      </c>
      <c r="C266">
        <v>87</v>
      </c>
      <c r="D266" t="s">
        <v>60</v>
      </c>
      <c r="E266" t="s">
        <v>365</v>
      </c>
      <c r="F266">
        <v>9</v>
      </c>
    </row>
    <row r="267" spans="1:8" x14ac:dyDescent="0.2">
      <c r="A267" s="1" t="s">
        <v>140</v>
      </c>
      <c r="B267">
        <v>201</v>
      </c>
      <c r="C267">
        <v>53</v>
      </c>
      <c r="D267" t="s">
        <v>364</v>
      </c>
      <c r="E267">
        <v>6</v>
      </c>
      <c r="F267">
        <v>4</v>
      </c>
    </row>
    <row r="268" spans="1:8" x14ac:dyDescent="0.2">
      <c r="A268" s="1" t="s">
        <v>140</v>
      </c>
      <c r="B268">
        <v>207</v>
      </c>
      <c r="C268">
        <v>51</v>
      </c>
      <c r="D268" t="s">
        <v>364</v>
      </c>
      <c r="E268">
        <v>5</v>
      </c>
      <c r="F268">
        <v>14</v>
      </c>
    </row>
    <row r="269" spans="1:8" x14ac:dyDescent="0.2">
      <c r="A269" s="1" t="s">
        <v>140</v>
      </c>
      <c r="B269">
        <v>218</v>
      </c>
      <c r="C269">
        <v>70</v>
      </c>
      <c r="D269" t="s">
        <v>373</v>
      </c>
      <c r="F269">
        <v>24</v>
      </c>
      <c r="G269" t="s">
        <v>399</v>
      </c>
      <c r="H269" s="4"/>
    </row>
    <row r="270" spans="1:8" x14ac:dyDescent="0.2">
      <c r="A270" s="1" t="s">
        <v>140</v>
      </c>
      <c r="B270">
        <v>223</v>
      </c>
      <c r="C270">
        <v>73</v>
      </c>
      <c r="D270" t="s">
        <v>364</v>
      </c>
      <c r="E270">
        <v>8</v>
      </c>
      <c r="F270">
        <v>15</v>
      </c>
    </row>
    <row r="271" spans="1:8" x14ac:dyDescent="0.2">
      <c r="A271" s="1" t="s">
        <v>140</v>
      </c>
      <c r="B271">
        <v>228</v>
      </c>
      <c r="C271">
        <v>75</v>
      </c>
      <c r="D271" t="s">
        <v>364</v>
      </c>
      <c r="E271" t="s">
        <v>365</v>
      </c>
      <c r="F271">
        <v>10</v>
      </c>
    </row>
    <row r="272" spans="1:8" x14ac:dyDescent="0.2">
      <c r="A272" s="1" t="s">
        <v>140</v>
      </c>
      <c r="B272">
        <v>239</v>
      </c>
      <c r="C272">
        <v>62</v>
      </c>
      <c r="D272" t="s">
        <v>364</v>
      </c>
      <c r="E272">
        <v>4</v>
      </c>
      <c r="F272">
        <v>12</v>
      </c>
    </row>
    <row r="273" spans="1:13" x14ac:dyDescent="0.2">
      <c r="A273" s="1" t="s">
        <v>140</v>
      </c>
      <c r="B273">
        <v>243</v>
      </c>
      <c r="C273">
        <v>57</v>
      </c>
      <c r="D273" t="s">
        <v>364</v>
      </c>
      <c r="E273">
        <v>6</v>
      </c>
      <c r="F273">
        <v>9</v>
      </c>
    </row>
    <row r="274" spans="1:13" x14ac:dyDescent="0.2">
      <c r="A274" s="1" t="s">
        <v>140</v>
      </c>
      <c r="B274">
        <v>273</v>
      </c>
      <c r="C274">
        <v>23</v>
      </c>
      <c r="D274" t="s">
        <v>60</v>
      </c>
      <c r="E274" t="s">
        <v>365</v>
      </c>
      <c r="F274">
        <v>14</v>
      </c>
    </row>
    <row r="275" spans="1:13" x14ac:dyDescent="0.2">
      <c r="A275" s="1" t="s">
        <v>144</v>
      </c>
      <c r="C275">
        <v>18</v>
      </c>
      <c r="D275" t="s">
        <v>60</v>
      </c>
      <c r="E275" t="s">
        <v>365</v>
      </c>
      <c r="F275">
        <v>10</v>
      </c>
      <c r="K275" t="s">
        <v>63</v>
      </c>
      <c r="L275">
        <v>52.5</v>
      </c>
      <c r="M275" t="s">
        <v>64</v>
      </c>
    </row>
    <row r="276" spans="1:13" x14ac:dyDescent="0.2">
      <c r="A276" s="1" t="s">
        <v>144</v>
      </c>
      <c r="C276">
        <v>83</v>
      </c>
      <c r="D276" t="s">
        <v>60</v>
      </c>
      <c r="E276" t="s">
        <v>365</v>
      </c>
      <c r="F276">
        <v>10</v>
      </c>
      <c r="K276" t="s">
        <v>63</v>
      </c>
      <c r="L276">
        <v>63</v>
      </c>
      <c r="M276" t="s">
        <v>64</v>
      </c>
    </row>
    <row r="277" spans="1:13" x14ac:dyDescent="0.2">
      <c r="A277" s="1" t="s">
        <v>144</v>
      </c>
      <c r="C277">
        <v>103</v>
      </c>
      <c r="D277" t="s">
        <v>60</v>
      </c>
      <c r="E277">
        <v>1</v>
      </c>
      <c r="F277">
        <v>14</v>
      </c>
      <c r="K277" t="s">
        <v>63</v>
      </c>
      <c r="L277">
        <v>70</v>
      </c>
      <c r="M277" t="s">
        <v>64</v>
      </c>
    </row>
    <row r="278" spans="1:13" x14ac:dyDescent="0.2">
      <c r="A278" s="1" t="s">
        <v>144</v>
      </c>
      <c r="C278">
        <v>92</v>
      </c>
      <c r="D278" t="s">
        <v>60</v>
      </c>
      <c r="E278">
        <v>4</v>
      </c>
      <c r="F278">
        <v>12</v>
      </c>
      <c r="K278" t="s">
        <v>63</v>
      </c>
      <c r="L278">
        <v>78</v>
      </c>
      <c r="M278" t="s">
        <v>64</v>
      </c>
    </row>
    <row r="279" spans="1:13" x14ac:dyDescent="0.2">
      <c r="A279" s="1" t="s">
        <v>144</v>
      </c>
      <c r="C279">
        <v>120</v>
      </c>
      <c r="D279" t="s">
        <v>364</v>
      </c>
      <c r="E279" t="s">
        <v>365</v>
      </c>
      <c r="F279">
        <v>10</v>
      </c>
      <c r="K279" t="s">
        <v>60</v>
      </c>
      <c r="L279">
        <v>84</v>
      </c>
      <c r="M279" t="s">
        <v>64</v>
      </c>
    </row>
    <row r="280" spans="1:13" x14ac:dyDescent="0.2">
      <c r="A280" s="1" t="s">
        <v>144</v>
      </c>
      <c r="C280">
        <v>120</v>
      </c>
      <c r="D280" t="s">
        <v>364</v>
      </c>
      <c r="E280">
        <v>8</v>
      </c>
      <c r="F280">
        <v>14</v>
      </c>
      <c r="K280" t="s">
        <v>60</v>
      </c>
      <c r="L280">
        <v>84</v>
      </c>
      <c r="M280" t="s">
        <v>64</v>
      </c>
    </row>
    <row r="281" spans="1:13" x14ac:dyDescent="0.2">
      <c r="A281" s="1" t="s">
        <v>144</v>
      </c>
      <c r="C281">
        <v>121</v>
      </c>
      <c r="D281" t="s">
        <v>60</v>
      </c>
      <c r="E281">
        <v>7</v>
      </c>
      <c r="F281">
        <v>16</v>
      </c>
      <c r="K281" t="s">
        <v>60</v>
      </c>
      <c r="L281">
        <v>80</v>
      </c>
      <c r="M281" t="s">
        <v>64</v>
      </c>
    </row>
    <row r="282" spans="1:13" x14ac:dyDescent="0.2">
      <c r="A282" s="1" t="s">
        <v>144</v>
      </c>
      <c r="C282">
        <v>62</v>
      </c>
      <c r="D282" t="s">
        <v>375</v>
      </c>
      <c r="E282">
        <v>2</v>
      </c>
      <c r="F282">
        <v>12</v>
      </c>
      <c r="K282" t="s">
        <v>60</v>
      </c>
      <c r="L282">
        <v>78</v>
      </c>
      <c r="M282" t="s">
        <v>64</v>
      </c>
    </row>
    <row r="283" spans="1:13" x14ac:dyDescent="0.2">
      <c r="A283" s="1" t="s">
        <v>144</v>
      </c>
      <c r="C283">
        <v>57</v>
      </c>
      <c r="D283" t="s">
        <v>60</v>
      </c>
      <c r="E283">
        <v>4</v>
      </c>
      <c r="F283">
        <v>14</v>
      </c>
      <c r="K283" t="s">
        <v>60</v>
      </c>
      <c r="L283">
        <v>71</v>
      </c>
      <c r="M283" t="s">
        <v>64</v>
      </c>
    </row>
    <row r="284" spans="1:13" x14ac:dyDescent="0.2">
      <c r="A284" s="1" t="s">
        <v>144</v>
      </c>
      <c r="C284">
        <v>49</v>
      </c>
      <c r="D284" t="s">
        <v>364</v>
      </c>
      <c r="E284">
        <v>5</v>
      </c>
      <c r="F284">
        <v>10</v>
      </c>
      <c r="K284" t="s">
        <v>60</v>
      </c>
      <c r="L284">
        <v>88</v>
      </c>
      <c r="M284" t="s">
        <v>64</v>
      </c>
    </row>
    <row r="285" spans="1:13" x14ac:dyDescent="0.2">
      <c r="A285" s="1" t="s">
        <v>144</v>
      </c>
      <c r="C285">
        <v>42</v>
      </c>
      <c r="D285" t="s">
        <v>60</v>
      </c>
      <c r="E285">
        <v>6</v>
      </c>
      <c r="F285">
        <v>10</v>
      </c>
      <c r="K285" t="s">
        <v>60</v>
      </c>
      <c r="L285">
        <v>55</v>
      </c>
      <c r="M285" t="s">
        <v>64</v>
      </c>
    </row>
    <row r="286" spans="1:13" x14ac:dyDescent="0.2">
      <c r="A286" s="1" t="s">
        <v>144</v>
      </c>
      <c r="C286">
        <v>31</v>
      </c>
      <c r="D286" t="s">
        <v>364</v>
      </c>
      <c r="E286">
        <v>8</v>
      </c>
      <c r="F286">
        <v>8</v>
      </c>
      <c r="K286" t="s">
        <v>60</v>
      </c>
      <c r="L286">
        <v>33</v>
      </c>
      <c r="M286" t="s">
        <v>64</v>
      </c>
    </row>
    <row r="287" spans="1:13" x14ac:dyDescent="0.2">
      <c r="A287" s="1" t="s">
        <v>144</v>
      </c>
      <c r="C287">
        <v>31</v>
      </c>
      <c r="D287" t="s">
        <v>364</v>
      </c>
      <c r="E287">
        <v>4</v>
      </c>
      <c r="F287">
        <v>12</v>
      </c>
      <c r="K287" t="s">
        <v>60</v>
      </c>
      <c r="L287">
        <v>33</v>
      </c>
      <c r="M287" t="s">
        <v>64</v>
      </c>
    </row>
    <row r="288" spans="1:13" x14ac:dyDescent="0.2">
      <c r="A288" s="1" t="s">
        <v>144</v>
      </c>
      <c r="C288">
        <v>31</v>
      </c>
      <c r="D288" t="s">
        <v>364</v>
      </c>
      <c r="E288">
        <v>2</v>
      </c>
      <c r="F288">
        <v>14</v>
      </c>
      <c r="K288" t="s">
        <v>60</v>
      </c>
      <c r="L288">
        <v>45</v>
      </c>
      <c r="M288" t="s">
        <v>64</v>
      </c>
    </row>
    <row r="289" spans="1:13" x14ac:dyDescent="0.2">
      <c r="A289" s="1" t="s">
        <v>144</v>
      </c>
      <c r="C289">
        <v>71</v>
      </c>
      <c r="D289" t="s">
        <v>364</v>
      </c>
      <c r="E289" t="s">
        <v>365</v>
      </c>
      <c r="F289">
        <v>14</v>
      </c>
      <c r="K289" t="s">
        <v>60</v>
      </c>
      <c r="L289">
        <v>43</v>
      </c>
      <c r="M289" t="s">
        <v>64</v>
      </c>
    </row>
    <row r="290" spans="1:13" x14ac:dyDescent="0.2">
      <c r="A290" s="1" t="s">
        <v>144</v>
      </c>
      <c r="C290">
        <v>60</v>
      </c>
      <c r="D290" t="s">
        <v>373</v>
      </c>
      <c r="E290" t="s">
        <v>365</v>
      </c>
      <c r="F290">
        <v>40</v>
      </c>
      <c r="K290" t="s">
        <v>60</v>
      </c>
      <c r="L290">
        <v>45</v>
      </c>
      <c r="M290" t="s">
        <v>64</v>
      </c>
    </row>
    <row r="291" spans="1:13" x14ac:dyDescent="0.2">
      <c r="A291" s="1" t="s">
        <v>144</v>
      </c>
      <c r="C291">
        <v>62</v>
      </c>
      <c r="D291" t="s">
        <v>60</v>
      </c>
      <c r="E291" t="s">
        <v>365</v>
      </c>
      <c r="F291">
        <v>18</v>
      </c>
      <c r="K291" t="s">
        <v>60</v>
      </c>
      <c r="L291">
        <v>60.5</v>
      </c>
      <c r="M291" t="s">
        <v>64</v>
      </c>
    </row>
    <row r="292" spans="1:13" x14ac:dyDescent="0.2">
      <c r="A292" s="1" t="s">
        <v>144</v>
      </c>
      <c r="C292">
        <v>60</v>
      </c>
      <c r="D292" t="s">
        <v>364</v>
      </c>
      <c r="E292">
        <v>3</v>
      </c>
      <c r="F292">
        <v>18</v>
      </c>
      <c r="K292" t="s">
        <v>60</v>
      </c>
      <c r="L292">
        <v>22</v>
      </c>
      <c r="M292" t="s">
        <v>61</v>
      </c>
    </row>
    <row r="293" spans="1:13" x14ac:dyDescent="0.2">
      <c r="A293" s="1" t="s">
        <v>144</v>
      </c>
      <c r="C293">
        <v>74</v>
      </c>
      <c r="D293" t="s">
        <v>364</v>
      </c>
      <c r="E293">
        <v>3</v>
      </c>
      <c r="F293">
        <v>18</v>
      </c>
      <c r="K293" t="s">
        <v>60</v>
      </c>
      <c r="L293">
        <v>15</v>
      </c>
      <c r="M293" t="s">
        <v>61</v>
      </c>
    </row>
    <row r="294" spans="1:13" x14ac:dyDescent="0.2">
      <c r="A294" s="1" t="s">
        <v>144</v>
      </c>
      <c r="C294">
        <v>108</v>
      </c>
      <c r="D294" t="s">
        <v>364</v>
      </c>
      <c r="E294" t="s">
        <v>365</v>
      </c>
      <c r="F294">
        <v>14</v>
      </c>
      <c r="K294" t="s">
        <v>60</v>
      </c>
      <c r="L294">
        <v>15</v>
      </c>
      <c r="M294" t="s">
        <v>61</v>
      </c>
    </row>
    <row r="295" spans="1:13" x14ac:dyDescent="0.2">
      <c r="A295" s="1" t="s">
        <v>144</v>
      </c>
      <c r="C295">
        <v>68</v>
      </c>
      <c r="D295" t="s">
        <v>364</v>
      </c>
      <c r="E295" t="s">
        <v>365</v>
      </c>
      <c r="F295">
        <v>8</v>
      </c>
      <c r="K295" t="s">
        <v>60</v>
      </c>
      <c r="L295">
        <v>27</v>
      </c>
      <c r="M295" t="s">
        <v>61</v>
      </c>
    </row>
    <row r="296" spans="1:13" x14ac:dyDescent="0.2">
      <c r="A296" s="1" t="s">
        <v>144</v>
      </c>
      <c r="C296">
        <v>73</v>
      </c>
      <c r="D296" t="s">
        <v>364</v>
      </c>
      <c r="E296">
        <v>4</v>
      </c>
      <c r="F296">
        <v>16</v>
      </c>
      <c r="K296" t="s">
        <v>60</v>
      </c>
      <c r="L296">
        <v>27</v>
      </c>
      <c r="M296" t="s">
        <v>61</v>
      </c>
    </row>
    <row r="297" spans="1:13" x14ac:dyDescent="0.2">
      <c r="A297" s="1" t="s">
        <v>144</v>
      </c>
      <c r="C297">
        <v>63</v>
      </c>
      <c r="D297" t="s">
        <v>364</v>
      </c>
      <c r="E297" t="s">
        <v>365</v>
      </c>
      <c r="F297">
        <v>6</v>
      </c>
      <c r="K297" t="s">
        <v>60</v>
      </c>
      <c r="L297">
        <v>31</v>
      </c>
      <c r="M297" t="s">
        <v>61</v>
      </c>
    </row>
    <row r="298" spans="1:13" x14ac:dyDescent="0.2">
      <c r="A298" s="1" t="s">
        <v>144</v>
      </c>
      <c r="C298">
        <v>10</v>
      </c>
      <c r="D298" t="s">
        <v>364</v>
      </c>
      <c r="E298" t="s">
        <v>365</v>
      </c>
      <c r="F298">
        <v>8</v>
      </c>
      <c r="K298" t="s">
        <v>60</v>
      </c>
      <c r="L298">
        <v>39</v>
      </c>
      <c r="M298" t="s">
        <v>61</v>
      </c>
    </row>
    <row r="299" spans="1:13" x14ac:dyDescent="0.2">
      <c r="A299" s="1" t="s">
        <v>150</v>
      </c>
      <c r="C299">
        <v>70</v>
      </c>
      <c r="D299" t="s">
        <v>364</v>
      </c>
      <c r="E299">
        <v>4</v>
      </c>
      <c r="F299">
        <v>20</v>
      </c>
      <c r="K299" t="s">
        <v>60</v>
      </c>
      <c r="L299">
        <v>1</v>
      </c>
      <c r="M299" t="s">
        <v>61</v>
      </c>
    </row>
    <row r="300" spans="1:13" x14ac:dyDescent="0.2">
      <c r="A300" s="1" t="s">
        <v>150</v>
      </c>
      <c r="C300">
        <v>45</v>
      </c>
      <c r="D300" t="s">
        <v>364</v>
      </c>
      <c r="E300" t="s">
        <v>365</v>
      </c>
      <c r="F300">
        <v>14</v>
      </c>
      <c r="K300" t="s">
        <v>60</v>
      </c>
      <c r="L300">
        <v>13</v>
      </c>
      <c r="M300" t="s">
        <v>61</v>
      </c>
    </row>
    <row r="301" spans="1:13" x14ac:dyDescent="0.2">
      <c r="A301" s="1" t="s">
        <v>150</v>
      </c>
      <c r="C301">
        <v>99</v>
      </c>
      <c r="D301" t="s">
        <v>60</v>
      </c>
      <c r="E301">
        <v>2</v>
      </c>
      <c r="F301">
        <v>16</v>
      </c>
      <c r="K301" t="s">
        <v>63</v>
      </c>
      <c r="L301">
        <v>59</v>
      </c>
      <c r="M301" t="s">
        <v>61</v>
      </c>
    </row>
    <row r="302" spans="1:13" x14ac:dyDescent="0.2">
      <c r="A302" s="1" t="s">
        <v>150</v>
      </c>
      <c r="C302">
        <v>47</v>
      </c>
      <c r="D302" t="s">
        <v>364</v>
      </c>
      <c r="E302" t="s">
        <v>365</v>
      </c>
      <c r="F302">
        <v>9</v>
      </c>
      <c r="K302" t="s">
        <v>63</v>
      </c>
      <c r="L302">
        <v>10</v>
      </c>
      <c r="M302" t="s">
        <v>64</v>
      </c>
    </row>
    <row r="303" spans="1:13" x14ac:dyDescent="0.2">
      <c r="A303" s="1" t="s">
        <v>150</v>
      </c>
      <c r="C303">
        <v>64</v>
      </c>
      <c r="D303" t="s">
        <v>364</v>
      </c>
      <c r="E303">
        <v>4</v>
      </c>
      <c r="F303">
        <v>4</v>
      </c>
      <c r="K303" t="s">
        <v>63</v>
      </c>
      <c r="L303">
        <v>59</v>
      </c>
      <c r="M303" t="s">
        <v>64</v>
      </c>
    </row>
    <row r="304" spans="1:13" x14ac:dyDescent="0.2">
      <c r="A304" s="1" t="s">
        <v>153</v>
      </c>
      <c r="C304">
        <v>6</v>
      </c>
      <c r="D304" t="s">
        <v>60</v>
      </c>
      <c r="E304">
        <v>2</v>
      </c>
      <c r="F304">
        <v>13</v>
      </c>
      <c r="K304" t="s">
        <v>63</v>
      </c>
      <c r="L304">
        <v>62</v>
      </c>
      <c r="M304" t="s">
        <v>64</v>
      </c>
    </row>
    <row r="305" spans="1:13" x14ac:dyDescent="0.2">
      <c r="A305" s="1" t="s">
        <v>153</v>
      </c>
      <c r="C305">
        <v>13</v>
      </c>
      <c r="D305" t="s">
        <v>60</v>
      </c>
      <c r="E305" t="s">
        <v>365</v>
      </c>
      <c r="F305">
        <v>14</v>
      </c>
      <c r="K305" t="s">
        <v>60</v>
      </c>
      <c r="L305">
        <v>30</v>
      </c>
      <c r="M305" t="s">
        <v>64</v>
      </c>
    </row>
    <row r="306" spans="1:13" x14ac:dyDescent="0.2">
      <c r="A306" s="1" t="s">
        <v>153</v>
      </c>
      <c r="C306">
        <v>12</v>
      </c>
      <c r="D306" t="s">
        <v>364</v>
      </c>
      <c r="E306">
        <v>2</v>
      </c>
      <c r="F306">
        <v>12</v>
      </c>
      <c r="K306" t="s">
        <v>60</v>
      </c>
      <c r="L306">
        <v>11</v>
      </c>
      <c r="M306" t="s">
        <v>64</v>
      </c>
    </row>
    <row r="307" spans="1:13" x14ac:dyDescent="0.2">
      <c r="A307" s="1" t="s">
        <v>153</v>
      </c>
      <c r="C307">
        <v>20</v>
      </c>
      <c r="D307" t="s">
        <v>60</v>
      </c>
      <c r="E307" t="s">
        <v>365</v>
      </c>
      <c r="F307">
        <v>8</v>
      </c>
      <c r="K307" t="s">
        <v>60</v>
      </c>
      <c r="L307">
        <v>71</v>
      </c>
      <c r="M307" t="s">
        <v>61</v>
      </c>
    </row>
    <row r="308" spans="1:13" x14ac:dyDescent="0.2">
      <c r="A308" s="1" t="s">
        <v>153</v>
      </c>
      <c r="C308">
        <v>37</v>
      </c>
      <c r="D308" t="s">
        <v>60</v>
      </c>
      <c r="E308">
        <v>1</v>
      </c>
      <c r="F308">
        <v>20</v>
      </c>
      <c r="K308" t="s">
        <v>63</v>
      </c>
      <c r="L308">
        <v>80</v>
      </c>
      <c r="M308" t="s">
        <v>61</v>
      </c>
    </row>
    <row r="309" spans="1:13" x14ac:dyDescent="0.2">
      <c r="A309" s="1" t="s">
        <v>153</v>
      </c>
      <c r="C309">
        <v>37</v>
      </c>
      <c r="D309" t="s">
        <v>60</v>
      </c>
      <c r="E309">
        <v>3</v>
      </c>
      <c r="F309">
        <v>5</v>
      </c>
      <c r="K309" t="s">
        <v>60</v>
      </c>
      <c r="L309">
        <v>71</v>
      </c>
      <c r="M309" t="s">
        <v>61</v>
      </c>
    </row>
    <row r="310" spans="1:13" x14ac:dyDescent="0.2">
      <c r="A310" s="1" t="s">
        <v>153</v>
      </c>
      <c r="C310">
        <v>51</v>
      </c>
      <c r="D310" t="s">
        <v>60</v>
      </c>
      <c r="E310" t="s">
        <v>379</v>
      </c>
      <c r="F310">
        <v>18</v>
      </c>
      <c r="K310" t="s">
        <v>63</v>
      </c>
      <c r="L310">
        <v>15</v>
      </c>
      <c r="M310" t="s">
        <v>61</v>
      </c>
    </row>
    <row r="311" spans="1:13" x14ac:dyDescent="0.2">
      <c r="A311" s="1" t="s">
        <v>153</v>
      </c>
      <c r="C311">
        <v>62</v>
      </c>
      <c r="D311" t="s">
        <v>364</v>
      </c>
      <c r="E311" t="s">
        <v>365</v>
      </c>
      <c r="F311">
        <v>14</v>
      </c>
      <c r="K311" t="s">
        <v>63</v>
      </c>
      <c r="L311">
        <v>9.5</v>
      </c>
      <c r="M311" t="s">
        <v>61</v>
      </c>
    </row>
    <row r="312" spans="1:13" x14ac:dyDescent="0.2">
      <c r="A312" s="1" t="s">
        <v>153</v>
      </c>
      <c r="C312">
        <v>32</v>
      </c>
      <c r="D312" t="s">
        <v>60</v>
      </c>
      <c r="E312" t="s">
        <v>365</v>
      </c>
      <c r="F312">
        <v>6</v>
      </c>
      <c r="K312" t="s">
        <v>63</v>
      </c>
      <c r="L312">
        <v>1</v>
      </c>
      <c r="M312" t="s">
        <v>61</v>
      </c>
    </row>
    <row r="313" spans="1:13" x14ac:dyDescent="0.2">
      <c r="A313" s="1" t="s">
        <v>153</v>
      </c>
      <c r="C313">
        <v>53</v>
      </c>
      <c r="D313" s="2"/>
      <c r="K313" t="s">
        <v>60</v>
      </c>
      <c r="L313">
        <v>60.5</v>
      </c>
      <c r="M313" t="s">
        <v>64</v>
      </c>
    </row>
    <row r="314" spans="1:13" x14ac:dyDescent="0.2">
      <c r="A314" s="1" t="s">
        <v>159</v>
      </c>
      <c r="C314">
        <v>61</v>
      </c>
      <c r="D314" s="2" t="s">
        <v>364</v>
      </c>
      <c r="E314">
        <v>5</v>
      </c>
      <c r="F314">
        <v>10</v>
      </c>
      <c r="K314" t="s">
        <v>60</v>
      </c>
      <c r="L314">
        <v>11</v>
      </c>
      <c r="M314" t="s">
        <v>61</v>
      </c>
    </row>
    <row r="315" spans="1:13" x14ac:dyDescent="0.2">
      <c r="A315" s="1" t="s">
        <v>159</v>
      </c>
      <c r="C315">
        <v>55</v>
      </c>
      <c r="D315" s="2" t="s">
        <v>370</v>
      </c>
      <c r="E315">
        <v>2</v>
      </c>
      <c r="F315">
        <v>6</v>
      </c>
      <c r="K315" t="s">
        <v>63</v>
      </c>
      <c r="L315">
        <v>54.5</v>
      </c>
      <c r="M315" t="s">
        <v>61</v>
      </c>
    </row>
    <row r="316" spans="1:13" x14ac:dyDescent="0.2">
      <c r="A316" s="1" t="s">
        <v>159</v>
      </c>
      <c r="C316" s="2">
        <v>58</v>
      </c>
      <c r="D316" t="s">
        <v>60</v>
      </c>
      <c r="E316">
        <v>3</v>
      </c>
      <c r="F316">
        <v>9</v>
      </c>
      <c r="K316" t="s">
        <v>63</v>
      </c>
      <c r="L316">
        <v>60</v>
      </c>
      <c r="M316" t="s">
        <v>61</v>
      </c>
    </row>
    <row r="317" spans="1:13" x14ac:dyDescent="0.2">
      <c r="A317" s="1" t="s">
        <v>162</v>
      </c>
      <c r="C317">
        <v>42</v>
      </c>
      <c r="D317" t="s">
        <v>364</v>
      </c>
      <c r="E317" t="s">
        <v>365</v>
      </c>
      <c r="F317">
        <v>9</v>
      </c>
      <c r="K317" t="s">
        <v>63</v>
      </c>
      <c r="L317">
        <v>47</v>
      </c>
      <c r="M317" t="s">
        <v>61</v>
      </c>
    </row>
    <row r="318" spans="1:13" x14ac:dyDescent="0.2">
      <c r="A318" s="1" t="s">
        <v>162</v>
      </c>
      <c r="C318">
        <v>42</v>
      </c>
      <c r="D318" t="s">
        <v>364</v>
      </c>
      <c r="E318" t="s">
        <v>365</v>
      </c>
      <c r="F318">
        <v>9</v>
      </c>
      <c r="K318" t="s">
        <v>63</v>
      </c>
      <c r="L318">
        <v>47</v>
      </c>
      <c r="M318" t="s">
        <v>61</v>
      </c>
    </row>
    <row r="319" spans="1:13" x14ac:dyDescent="0.2">
      <c r="A319" s="1" t="s">
        <v>162</v>
      </c>
      <c r="C319">
        <v>56</v>
      </c>
      <c r="D319" t="s">
        <v>60</v>
      </c>
      <c r="E319" t="s">
        <v>365</v>
      </c>
      <c r="F319">
        <v>6</v>
      </c>
      <c r="K319" t="s">
        <v>63</v>
      </c>
      <c r="L319">
        <v>35</v>
      </c>
      <c r="M319" t="s">
        <v>61</v>
      </c>
    </row>
    <row r="320" spans="1:13" x14ac:dyDescent="0.2">
      <c r="A320" s="1" t="s">
        <v>162</v>
      </c>
      <c r="C320">
        <v>73</v>
      </c>
      <c r="D320" t="s">
        <v>60</v>
      </c>
      <c r="E320">
        <v>10</v>
      </c>
      <c r="F320">
        <v>14</v>
      </c>
      <c r="K320" t="s">
        <v>63</v>
      </c>
      <c r="L320">
        <v>47</v>
      </c>
      <c r="M320" t="s">
        <v>61</v>
      </c>
    </row>
    <row r="321" spans="1:13" x14ac:dyDescent="0.2">
      <c r="A321" s="1" t="s">
        <v>162</v>
      </c>
      <c r="C321">
        <v>75</v>
      </c>
      <c r="D321" t="s">
        <v>370</v>
      </c>
      <c r="E321">
        <v>3</v>
      </c>
      <c r="F321">
        <v>4</v>
      </c>
      <c r="K321" t="s">
        <v>63</v>
      </c>
      <c r="L321">
        <v>47</v>
      </c>
      <c r="M321" t="s">
        <v>61</v>
      </c>
    </row>
    <row r="322" spans="1:13" x14ac:dyDescent="0.2">
      <c r="A322" s="1" t="s">
        <v>162</v>
      </c>
      <c r="C322">
        <v>42</v>
      </c>
      <c r="D322" t="s">
        <v>364</v>
      </c>
      <c r="E322">
        <v>4</v>
      </c>
      <c r="F322">
        <v>4</v>
      </c>
      <c r="K322" t="s">
        <v>63</v>
      </c>
      <c r="L322">
        <v>22.5</v>
      </c>
      <c r="M322" t="s">
        <v>61</v>
      </c>
    </row>
    <row r="323" spans="1:13" x14ac:dyDescent="0.2">
      <c r="A323" s="1" t="s">
        <v>162</v>
      </c>
      <c r="C323">
        <v>44</v>
      </c>
      <c r="D323" t="s">
        <v>60</v>
      </c>
      <c r="E323">
        <v>2</v>
      </c>
      <c r="F323">
        <v>13</v>
      </c>
      <c r="K323" t="s">
        <v>63</v>
      </c>
      <c r="L323">
        <v>18.5</v>
      </c>
      <c r="M323" t="s">
        <v>61</v>
      </c>
    </row>
    <row r="324" spans="1:13" x14ac:dyDescent="0.2">
      <c r="A324" s="1" t="s">
        <v>165</v>
      </c>
      <c r="B324">
        <v>91</v>
      </c>
      <c r="C324">
        <v>64</v>
      </c>
      <c r="D324" t="s">
        <v>60</v>
      </c>
      <c r="E324">
        <v>2</v>
      </c>
      <c r="F324">
        <v>8</v>
      </c>
    </row>
    <row r="325" spans="1:13" x14ac:dyDescent="0.2">
      <c r="A325" s="1" t="s">
        <v>165</v>
      </c>
      <c r="B325">
        <v>130</v>
      </c>
      <c r="C325">
        <v>25</v>
      </c>
      <c r="D325" t="s">
        <v>60</v>
      </c>
      <c r="E325">
        <v>5</v>
      </c>
      <c r="F325">
        <v>4</v>
      </c>
    </row>
    <row r="326" spans="1:13" x14ac:dyDescent="0.2">
      <c r="A326" s="1" t="s">
        <v>165</v>
      </c>
      <c r="B326">
        <v>130</v>
      </c>
      <c r="C326">
        <v>39</v>
      </c>
      <c r="D326" t="s">
        <v>364</v>
      </c>
      <c r="E326">
        <v>10</v>
      </c>
      <c r="F326">
        <v>3</v>
      </c>
    </row>
    <row r="327" spans="1:13" x14ac:dyDescent="0.2">
      <c r="A327" s="1" t="s">
        <v>165</v>
      </c>
      <c r="B327">
        <v>153</v>
      </c>
      <c r="C327">
        <v>61</v>
      </c>
      <c r="D327" t="s">
        <v>60</v>
      </c>
      <c r="E327">
        <v>10</v>
      </c>
      <c r="F327">
        <v>14</v>
      </c>
    </row>
    <row r="328" spans="1:13" x14ac:dyDescent="0.2">
      <c r="A328" s="1" t="s">
        <v>165</v>
      </c>
      <c r="B328">
        <v>153</v>
      </c>
      <c r="C328">
        <v>58</v>
      </c>
      <c r="D328" t="s">
        <v>364</v>
      </c>
      <c r="E328">
        <v>5</v>
      </c>
      <c r="F328">
        <v>5</v>
      </c>
    </row>
    <row r="329" spans="1:13" x14ac:dyDescent="0.2">
      <c r="A329" s="1" t="s">
        <v>165</v>
      </c>
      <c r="B329">
        <v>149</v>
      </c>
      <c r="C329">
        <v>48</v>
      </c>
      <c r="D329" t="s">
        <v>364</v>
      </c>
      <c r="E329" t="s">
        <v>365</v>
      </c>
      <c r="F329">
        <v>6</v>
      </c>
    </row>
    <row r="330" spans="1:13" x14ac:dyDescent="0.2">
      <c r="A330" s="1" t="s">
        <v>165</v>
      </c>
      <c r="B330">
        <v>206</v>
      </c>
      <c r="C330">
        <v>52</v>
      </c>
      <c r="D330" t="s">
        <v>364</v>
      </c>
      <c r="E330">
        <v>4</v>
      </c>
      <c r="F330">
        <v>14</v>
      </c>
    </row>
    <row r="331" spans="1:13" x14ac:dyDescent="0.2">
      <c r="A331" s="1" t="s">
        <v>165</v>
      </c>
      <c r="B331">
        <v>230</v>
      </c>
      <c r="C331">
        <v>45</v>
      </c>
      <c r="D331" t="s">
        <v>60</v>
      </c>
      <c r="E331" t="s">
        <v>365</v>
      </c>
      <c r="F331">
        <v>6</v>
      </c>
    </row>
    <row r="332" spans="1:13" x14ac:dyDescent="0.2">
      <c r="A332" s="1" t="s">
        <v>165</v>
      </c>
      <c r="B332">
        <v>238</v>
      </c>
      <c r="C332">
        <v>36</v>
      </c>
      <c r="D332" t="s">
        <v>364</v>
      </c>
      <c r="E332">
        <v>8</v>
      </c>
      <c r="F332">
        <v>6</v>
      </c>
    </row>
    <row r="333" spans="1:13" x14ac:dyDescent="0.2">
      <c r="A333" s="1" t="s">
        <v>165</v>
      </c>
      <c r="B333">
        <v>238</v>
      </c>
      <c r="C333">
        <v>36</v>
      </c>
      <c r="D333" t="s">
        <v>60</v>
      </c>
      <c r="E333" t="s">
        <v>365</v>
      </c>
      <c r="F333">
        <v>4</v>
      </c>
    </row>
    <row r="334" spans="1:13" x14ac:dyDescent="0.2">
      <c r="A334" s="1" t="s">
        <v>165</v>
      </c>
      <c r="B334">
        <v>238</v>
      </c>
      <c r="C334">
        <v>31</v>
      </c>
      <c r="D334" t="s">
        <v>364</v>
      </c>
      <c r="E334" t="s">
        <v>365</v>
      </c>
      <c r="F334">
        <v>3</v>
      </c>
    </row>
    <row r="335" spans="1:13" x14ac:dyDescent="0.2">
      <c r="A335" s="1" t="s">
        <v>165</v>
      </c>
      <c r="B335">
        <v>238</v>
      </c>
      <c r="C335">
        <v>39</v>
      </c>
      <c r="D335" t="s">
        <v>364</v>
      </c>
      <c r="E335" t="s">
        <v>365</v>
      </c>
      <c r="F335">
        <v>3</v>
      </c>
    </row>
    <row r="336" spans="1:13" x14ac:dyDescent="0.2">
      <c r="A336" s="1" t="s">
        <v>165</v>
      </c>
      <c r="B336">
        <v>220</v>
      </c>
      <c r="C336">
        <v>49</v>
      </c>
      <c r="D336" t="s">
        <v>364</v>
      </c>
      <c r="E336">
        <v>2</v>
      </c>
      <c r="F336">
        <v>6</v>
      </c>
    </row>
    <row r="337" spans="1:6" x14ac:dyDescent="0.2">
      <c r="A337" s="1" t="s">
        <v>165</v>
      </c>
      <c r="B337">
        <v>231</v>
      </c>
      <c r="C337">
        <v>56</v>
      </c>
      <c r="D337" t="s">
        <v>364</v>
      </c>
      <c r="E337">
        <v>1</v>
      </c>
      <c r="F337">
        <v>10</v>
      </c>
    </row>
    <row r="338" spans="1:6" x14ac:dyDescent="0.2">
      <c r="A338" s="1" t="s">
        <v>165</v>
      </c>
      <c r="B338">
        <v>231</v>
      </c>
      <c r="C338">
        <v>54</v>
      </c>
      <c r="D338" t="s">
        <v>364</v>
      </c>
      <c r="E338">
        <v>2</v>
      </c>
      <c r="F338">
        <v>10</v>
      </c>
    </row>
    <row r="339" spans="1:6" x14ac:dyDescent="0.2">
      <c r="A339" s="1" t="s">
        <v>169</v>
      </c>
      <c r="B339">
        <v>282</v>
      </c>
      <c r="C339">
        <v>124</v>
      </c>
      <c r="D339" t="s">
        <v>60</v>
      </c>
      <c r="E339" t="s">
        <v>365</v>
      </c>
      <c r="F339">
        <v>3</v>
      </c>
    </row>
    <row r="340" spans="1:6" x14ac:dyDescent="0.2">
      <c r="A340" s="1" t="s">
        <v>169</v>
      </c>
      <c r="B340">
        <v>282</v>
      </c>
      <c r="C340">
        <v>75</v>
      </c>
      <c r="D340" t="s">
        <v>364</v>
      </c>
      <c r="E340" t="s">
        <v>365</v>
      </c>
      <c r="F340">
        <v>10</v>
      </c>
    </row>
    <row r="341" spans="1:6" x14ac:dyDescent="0.2">
      <c r="A341" s="1" t="s">
        <v>169</v>
      </c>
      <c r="B341">
        <v>276</v>
      </c>
      <c r="C341">
        <v>71</v>
      </c>
      <c r="D341" t="s">
        <v>364</v>
      </c>
      <c r="E341">
        <v>5</v>
      </c>
      <c r="F341">
        <v>6</v>
      </c>
    </row>
    <row r="342" spans="1:6" x14ac:dyDescent="0.2">
      <c r="A342" s="1" t="s">
        <v>169</v>
      </c>
      <c r="B342">
        <v>293</v>
      </c>
      <c r="C342">
        <v>71</v>
      </c>
      <c r="D342" t="s">
        <v>364</v>
      </c>
      <c r="E342" t="s">
        <v>365</v>
      </c>
      <c r="F342">
        <v>7</v>
      </c>
    </row>
    <row r="343" spans="1:6" x14ac:dyDescent="0.2">
      <c r="A343" s="1" t="s">
        <v>169</v>
      </c>
      <c r="B343">
        <v>175</v>
      </c>
      <c r="C343">
        <v>63</v>
      </c>
      <c r="D343" t="s">
        <v>60</v>
      </c>
      <c r="E343">
        <v>1</v>
      </c>
      <c r="F343">
        <v>8</v>
      </c>
    </row>
    <row r="344" spans="1:6" x14ac:dyDescent="0.2">
      <c r="A344" s="1" t="s">
        <v>169</v>
      </c>
      <c r="B344">
        <v>279</v>
      </c>
      <c r="C344">
        <v>63</v>
      </c>
      <c r="D344" t="s">
        <v>60</v>
      </c>
      <c r="E344" t="s">
        <v>365</v>
      </c>
      <c r="F344">
        <v>2</v>
      </c>
    </row>
    <row r="345" spans="1:6" x14ac:dyDescent="0.2">
      <c r="A345" s="1" t="s">
        <v>169</v>
      </c>
      <c r="B345">
        <v>310</v>
      </c>
      <c r="C345">
        <v>60</v>
      </c>
      <c r="D345" t="s">
        <v>364</v>
      </c>
      <c r="E345" t="s">
        <v>365</v>
      </c>
      <c r="F345">
        <v>8</v>
      </c>
    </row>
    <row r="346" spans="1:6" x14ac:dyDescent="0.2">
      <c r="A346" s="1" t="s">
        <v>169</v>
      </c>
      <c r="B346">
        <v>290</v>
      </c>
      <c r="C346">
        <v>51</v>
      </c>
      <c r="D346" t="s">
        <v>60</v>
      </c>
      <c r="E346">
        <v>2</v>
      </c>
      <c r="F346">
        <v>16</v>
      </c>
    </row>
    <row r="347" spans="1:6" x14ac:dyDescent="0.2">
      <c r="A347" s="1" t="s">
        <v>169</v>
      </c>
      <c r="B347">
        <v>84</v>
      </c>
      <c r="C347">
        <v>85</v>
      </c>
      <c r="D347" t="s">
        <v>364</v>
      </c>
      <c r="E347">
        <v>3</v>
      </c>
      <c r="F347">
        <v>8</v>
      </c>
    </row>
    <row r="348" spans="1:6" x14ac:dyDescent="0.2">
      <c r="A348" s="1" t="s">
        <v>169</v>
      </c>
      <c r="B348">
        <v>82</v>
      </c>
      <c r="C348">
        <v>82</v>
      </c>
      <c r="D348" t="s">
        <v>386</v>
      </c>
      <c r="E348">
        <v>2</v>
      </c>
      <c r="F348">
        <v>5</v>
      </c>
    </row>
    <row r="349" spans="1:6" x14ac:dyDescent="0.2">
      <c r="A349" s="1" t="s">
        <v>169</v>
      </c>
      <c r="B349">
        <v>94</v>
      </c>
      <c r="C349">
        <v>86</v>
      </c>
      <c r="D349" t="s">
        <v>60</v>
      </c>
      <c r="E349">
        <v>8</v>
      </c>
      <c r="F349">
        <v>5</v>
      </c>
    </row>
    <row r="350" spans="1:6" x14ac:dyDescent="0.2">
      <c r="A350" s="1" t="s">
        <v>169</v>
      </c>
      <c r="B350">
        <v>99</v>
      </c>
      <c r="C350">
        <v>78</v>
      </c>
      <c r="D350" t="s">
        <v>60</v>
      </c>
      <c r="E350">
        <v>8</v>
      </c>
      <c r="F350">
        <v>5</v>
      </c>
    </row>
    <row r="351" spans="1:6" x14ac:dyDescent="0.2">
      <c r="A351" s="1" t="s">
        <v>169</v>
      </c>
      <c r="B351">
        <v>142</v>
      </c>
      <c r="C351">
        <v>59</v>
      </c>
      <c r="D351" t="s">
        <v>60</v>
      </c>
      <c r="E351">
        <v>1</v>
      </c>
      <c r="F351">
        <v>3</v>
      </c>
    </row>
    <row r="352" spans="1:6" x14ac:dyDescent="0.2">
      <c r="A352" s="1" t="s">
        <v>169</v>
      </c>
      <c r="B352">
        <v>219</v>
      </c>
      <c r="C352">
        <v>18</v>
      </c>
      <c r="D352" t="s">
        <v>364</v>
      </c>
      <c r="E352">
        <v>8</v>
      </c>
      <c r="F352">
        <v>3</v>
      </c>
    </row>
    <row r="353" spans="1:8" x14ac:dyDescent="0.2">
      <c r="A353" s="1" t="s">
        <v>169</v>
      </c>
      <c r="B353">
        <v>213</v>
      </c>
      <c r="C353">
        <v>18</v>
      </c>
      <c r="D353" t="s">
        <v>60</v>
      </c>
      <c r="E353">
        <v>5</v>
      </c>
      <c r="F353">
        <v>4</v>
      </c>
    </row>
    <row r="354" spans="1:8" x14ac:dyDescent="0.2">
      <c r="A354" s="1" t="s">
        <v>173</v>
      </c>
      <c r="B354">
        <v>79</v>
      </c>
      <c r="C354">
        <v>59</v>
      </c>
      <c r="D354" t="s">
        <v>60</v>
      </c>
      <c r="E354" t="s">
        <v>365</v>
      </c>
      <c r="F354">
        <v>14</v>
      </c>
    </row>
    <row r="355" spans="1:8" x14ac:dyDescent="0.2">
      <c r="A355" s="1" t="s">
        <v>173</v>
      </c>
      <c r="B355">
        <v>112</v>
      </c>
      <c r="C355">
        <v>16</v>
      </c>
      <c r="D355" t="s">
        <v>364</v>
      </c>
      <c r="E355" t="s">
        <v>365</v>
      </c>
      <c r="F355">
        <v>12</v>
      </c>
    </row>
    <row r="356" spans="1:8" x14ac:dyDescent="0.2">
      <c r="A356" s="1" t="s">
        <v>173</v>
      </c>
      <c r="B356">
        <v>19</v>
      </c>
      <c r="C356">
        <v>70</v>
      </c>
      <c r="D356" t="s">
        <v>370</v>
      </c>
      <c r="E356">
        <v>2</v>
      </c>
      <c r="F356">
        <v>14</v>
      </c>
    </row>
    <row r="357" spans="1:8" x14ac:dyDescent="0.2">
      <c r="A357" s="1" t="s">
        <v>173</v>
      </c>
      <c r="B357">
        <v>5</v>
      </c>
      <c r="C357">
        <v>61</v>
      </c>
      <c r="D357" t="s">
        <v>60</v>
      </c>
      <c r="E357" t="s">
        <v>365</v>
      </c>
      <c r="F357">
        <v>9</v>
      </c>
    </row>
    <row r="358" spans="1:8" x14ac:dyDescent="0.2">
      <c r="A358" s="1" t="s">
        <v>173</v>
      </c>
      <c r="B358">
        <v>349</v>
      </c>
      <c r="C358">
        <v>62</v>
      </c>
      <c r="D358" t="s">
        <v>364</v>
      </c>
      <c r="E358" t="s">
        <v>365</v>
      </c>
      <c r="F358">
        <v>6</v>
      </c>
    </row>
    <row r="359" spans="1:8" x14ac:dyDescent="0.2">
      <c r="A359" s="1" t="s">
        <v>173</v>
      </c>
      <c r="B359">
        <v>340</v>
      </c>
      <c r="C359">
        <v>69</v>
      </c>
      <c r="D359" t="s">
        <v>60</v>
      </c>
      <c r="E359" t="s">
        <v>365</v>
      </c>
      <c r="F359">
        <v>8</v>
      </c>
    </row>
    <row r="360" spans="1:8" x14ac:dyDescent="0.2">
      <c r="A360" s="1" t="s">
        <v>173</v>
      </c>
      <c r="B360">
        <v>216</v>
      </c>
      <c r="C360">
        <v>52</v>
      </c>
      <c r="D360" t="s">
        <v>60</v>
      </c>
      <c r="E360" t="s">
        <v>365</v>
      </c>
      <c r="F360">
        <v>8</v>
      </c>
    </row>
    <row r="361" spans="1:8" x14ac:dyDescent="0.2">
      <c r="A361" s="1" t="s">
        <v>173</v>
      </c>
      <c r="B361">
        <v>150</v>
      </c>
      <c r="C361">
        <v>31</v>
      </c>
      <c r="D361" t="s">
        <v>60</v>
      </c>
      <c r="E361">
        <v>3</v>
      </c>
      <c r="F361">
        <v>4</v>
      </c>
    </row>
    <row r="362" spans="1:8" x14ac:dyDescent="0.2">
      <c r="A362" s="1" t="s">
        <v>179</v>
      </c>
      <c r="B362">
        <v>26</v>
      </c>
      <c r="C362">
        <v>29</v>
      </c>
      <c r="D362" t="s">
        <v>60</v>
      </c>
      <c r="E362">
        <v>1</v>
      </c>
      <c r="F362">
        <v>6</v>
      </c>
    </row>
    <row r="363" spans="1:8" x14ac:dyDescent="0.2">
      <c r="A363" s="1" t="s">
        <v>179</v>
      </c>
      <c r="B363">
        <v>346</v>
      </c>
      <c r="C363">
        <v>52.5</v>
      </c>
      <c r="D363" t="s">
        <v>364</v>
      </c>
      <c r="E363" t="s">
        <v>365</v>
      </c>
      <c r="F363">
        <v>13</v>
      </c>
    </row>
    <row r="364" spans="1:8" x14ac:dyDescent="0.2">
      <c r="A364" s="1" t="s">
        <v>179</v>
      </c>
      <c r="B364">
        <v>51</v>
      </c>
      <c r="C364">
        <v>9</v>
      </c>
      <c r="D364" t="s">
        <v>60</v>
      </c>
      <c r="E364">
        <v>2</v>
      </c>
      <c r="F364">
        <v>5</v>
      </c>
    </row>
    <row r="365" spans="1:8" x14ac:dyDescent="0.2">
      <c r="A365" s="1" t="s">
        <v>179</v>
      </c>
      <c r="B365">
        <v>10</v>
      </c>
      <c r="C365">
        <v>93</v>
      </c>
      <c r="D365" t="s">
        <v>60</v>
      </c>
      <c r="E365" t="s">
        <v>365</v>
      </c>
      <c r="F365">
        <v>5</v>
      </c>
    </row>
    <row r="366" spans="1:8" x14ac:dyDescent="0.2">
      <c r="A366" s="1" t="s">
        <v>183</v>
      </c>
      <c r="B366">
        <v>119</v>
      </c>
      <c r="C366">
        <v>70</v>
      </c>
      <c r="D366" t="s">
        <v>60</v>
      </c>
      <c r="E366" t="s">
        <v>379</v>
      </c>
      <c r="F366">
        <v>14</v>
      </c>
      <c r="G366" t="s">
        <v>400</v>
      </c>
      <c r="H366" s="4"/>
    </row>
    <row r="367" spans="1:8" x14ac:dyDescent="0.2">
      <c r="A367" s="1" t="s">
        <v>183</v>
      </c>
      <c r="B367">
        <v>116</v>
      </c>
      <c r="C367">
        <v>73</v>
      </c>
      <c r="D367" t="s">
        <v>364</v>
      </c>
      <c r="E367">
        <v>8</v>
      </c>
      <c r="F367">
        <v>13</v>
      </c>
    </row>
    <row r="368" spans="1:8" x14ac:dyDescent="0.2">
      <c r="A368" s="1" t="s">
        <v>183</v>
      </c>
      <c r="B368">
        <v>113</v>
      </c>
      <c r="C368">
        <v>70</v>
      </c>
      <c r="D368" t="s">
        <v>364</v>
      </c>
      <c r="E368" t="s">
        <v>379</v>
      </c>
      <c r="F368">
        <v>14</v>
      </c>
    </row>
    <row r="369" spans="1:6" x14ac:dyDescent="0.2">
      <c r="A369" s="1" t="s">
        <v>183</v>
      </c>
      <c r="B369">
        <v>118</v>
      </c>
      <c r="C369">
        <v>58</v>
      </c>
      <c r="D369" t="s">
        <v>60</v>
      </c>
      <c r="E369" t="s">
        <v>379</v>
      </c>
      <c r="F369">
        <v>20</v>
      </c>
    </row>
    <row r="370" spans="1:6" x14ac:dyDescent="0.2">
      <c r="A370" s="1" t="s">
        <v>183</v>
      </c>
      <c r="B370">
        <v>144</v>
      </c>
      <c r="C370">
        <v>56</v>
      </c>
      <c r="D370" t="s">
        <v>60</v>
      </c>
      <c r="E370" t="s">
        <v>365</v>
      </c>
      <c r="F370">
        <v>9</v>
      </c>
    </row>
    <row r="371" spans="1:6" x14ac:dyDescent="0.2">
      <c r="A371" s="1" t="s">
        <v>183</v>
      </c>
      <c r="B371">
        <v>221</v>
      </c>
      <c r="C371">
        <v>22</v>
      </c>
      <c r="D371" t="s">
        <v>364</v>
      </c>
      <c r="E371" t="s">
        <v>365</v>
      </c>
      <c r="F371">
        <v>15</v>
      </c>
    </row>
    <row r="372" spans="1:6" x14ac:dyDescent="0.2">
      <c r="A372" s="1" t="s">
        <v>183</v>
      </c>
      <c r="B372">
        <v>201</v>
      </c>
      <c r="C372">
        <v>75</v>
      </c>
      <c r="D372" t="s">
        <v>60</v>
      </c>
      <c r="E372">
        <v>2</v>
      </c>
      <c r="F372">
        <v>4</v>
      </c>
    </row>
    <row r="373" spans="1:6" x14ac:dyDescent="0.2">
      <c r="A373" s="1" t="s">
        <v>183</v>
      </c>
      <c r="B373">
        <v>208</v>
      </c>
      <c r="C373">
        <v>81</v>
      </c>
      <c r="D373" t="s">
        <v>364</v>
      </c>
      <c r="E373">
        <v>2</v>
      </c>
      <c r="F373">
        <v>4</v>
      </c>
    </row>
    <row r="374" spans="1:6" x14ac:dyDescent="0.2">
      <c r="A374" s="1" t="s">
        <v>183</v>
      </c>
      <c r="B374">
        <v>239</v>
      </c>
      <c r="C374">
        <v>56</v>
      </c>
      <c r="D374" t="s">
        <v>60</v>
      </c>
      <c r="E374" t="s">
        <v>379</v>
      </c>
      <c r="F374">
        <v>22</v>
      </c>
    </row>
    <row r="375" spans="1:6" x14ac:dyDescent="0.2">
      <c r="A375" s="1" t="s">
        <v>183</v>
      </c>
      <c r="B375">
        <v>303</v>
      </c>
      <c r="C375">
        <v>56</v>
      </c>
      <c r="D375" t="s">
        <v>364</v>
      </c>
      <c r="E375" t="s">
        <v>365</v>
      </c>
      <c r="F375">
        <v>14</v>
      </c>
    </row>
    <row r="376" spans="1:6" x14ac:dyDescent="0.2">
      <c r="A376" s="1" t="s">
        <v>183</v>
      </c>
      <c r="B376">
        <v>349</v>
      </c>
      <c r="C376">
        <v>21</v>
      </c>
      <c r="D376" t="s">
        <v>364</v>
      </c>
      <c r="E376">
        <v>8</v>
      </c>
      <c r="F376">
        <v>14</v>
      </c>
    </row>
    <row r="377" spans="1:6" x14ac:dyDescent="0.2">
      <c r="A377" s="1" t="s">
        <v>187</v>
      </c>
      <c r="B377">
        <v>94</v>
      </c>
      <c r="C377">
        <v>42</v>
      </c>
      <c r="D377" t="s">
        <v>364</v>
      </c>
      <c r="E377">
        <v>5</v>
      </c>
      <c r="F377">
        <v>12</v>
      </c>
    </row>
    <row r="378" spans="1:6" x14ac:dyDescent="0.2">
      <c r="A378" s="1" t="s">
        <v>187</v>
      </c>
      <c r="B378">
        <v>88</v>
      </c>
      <c r="C378">
        <v>44</v>
      </c>
      <c r="D378" t="s">
        <v>364</v>
      </c>
      <c r="E378" t="s">
        <v>365</v>
      </c>
      <c r="F378">
        <v>8</v>
      </c>
    </row>
    <row r="379" spans="1:6" x14ac:dyDescent="0.2">
      <c r="A379" s="1" t="s">
        <v>187</v>
      </c>
      <c r="B379">
        <v>80</v>
      </c>
      <c r="C379">
        <v>52</v>
      </c>
      <c r="D379" t="s">
        <v>364</v>
      </c>
      <c r="E379">
        <v>2</v>
      </c>
      <c r="F379">
        <v>16</v>
      </c>
    </row>
    <row r="380" spans="1:6" x14ac:dyDescent="0.2">
      <c r="A380" s="1" t="s">
        <v>187</v>
      </c>
      <c r="B380">
        <v>73</v>
      </c>
      <c r="C380">
        <v>25</v>
      </c>
      <c r="D380" t="s">
        <v>60</v>
      </c>
      <c r="E380" t="s">
        <v>365</v>
      </c>
      <c r="F380">
        <v>12</v>
      </c>
    </row>
    <row r="381" spans="1:6" x14ac:dyDescent="0.2">
      <c r="A381" s="1" t="s">
        <v>187</v>
      </c>
      <c r="B381">
        <v>53</v>
      </c>
      <c r="C381">
        <v>25</v>
      </c>
      <c r="D381" t="s">
        <v>60</v>
      </c>
      <c r="E381" t="s">
        <v>365</v>
      </c>
      <c r="F381">
        <v>10</v>
      </c>
    </row>
    <row r="382" spans="1:6" x14ac:dyDescent="0.2">
      <c r="A382" s="1" t="s">
        <v>187</v>
      </c>
      <c r="B382">
        <v>37</v>
      </c>
      <c r="C382">
        <v>19</v>
      </c>
      <c r="D382" t="s">
        <v>60</v>
      </c>
      <c r="E382">
        <v>1</v>
      </c>
      <c r="F382">
        <v>12</v>
      </c>
    </row>
    <row r="383" spans="1:6" x14ac:dyDescent="0.2">
      <c r="A383" s="1" t="s">
        <v>187</v>
      </c>
      <c r="B383">
        <v>37</v>
      </c>
      <c r="C383">
        <v>30</v>
      </c>
      <c r="D383" t="s">
        <v>60</v>
      </c>
      <c r="E383" t="s">
        <v>365</v>
      </c>
      <c r="F383">
        <v>6</v>
      </c>
    </row>
    <row r="384" spans="1:6" x14ac:dyDescent="0.2">
      <c r="A384" s="1" t="s">
        <v>187</v>
      </c>
      <c r="B384">
        <v>40</v>
      </c>
      <c r="C384">
        <v>35</v>
      </c>
      <c r="D384" t="s">
        <v>60</v>
      </c>
      <c r="E384" t="s">
        <v>365</v>
      </c>
      <c r="F384">
        <v>8</v>
      </c>
    </row>
    <row r="385" spans="1:13" x14ac:dyDescent="0.2">
      <c r="A385" s="1" t="s">
        <v>187</v>
      </c>
      <c r="B385">
        <v>47</v>
      </c>
      <c r="C385">
        <v>75</v>
      </c>
      <c r="D385" t="s">
        <v>60</v>
      </c>
      <c r="E385" t="s">
        <v>365</v>
      </c>
      <c r="F385">
        <v>6</v>
      </c>
    </row>
    <row r="386" spans="1:13" x14ac:dyDescent="0.2">
      <c r="A386" s="1" t="s">
        <v>187</v>
      </c>
      <c r="B386">
        <v>63</v>
      </c>
      <c r="C386">
        <v>88</v>
      </c>
      <c r="D386" t="s">
        <v>60</v>
      </c>
      <c r="E386" t="s">
        <v>365</v>
      </c>
      <c r="F386">
        <v>8</v>
      </c>
    </row>
    <row r="387" spans="1:13" x14ac:dyDescent="0.2">
      <c r="A387" s="1" t="s">
        <v>187</v>
      </c>
      <c r="B387">
        <v>63</v>
      </c>
      <c r="C387">
        <v>88</v>
      </c>
      <c r="D387" t="s">
        <v>386</v>
      </c>
      <c r="E387" t="s">
        <v>379</v>
      </c>
      <c r="F387">
        <v>6</v>
      </c>
      <c r="G387" t="s">
        <v>401</v>
      </c>
      <c r="H387" s="4"/>
    </row>
    <row r="388" spans="1:13" x14ac:dyDescent="0.2">
      <c r="A388" s="1" t="s">
        <v>187</v>
      </c>
      <c r="B388">
        <v>67</v>
      </c>
      <c r="C388">
        <v>98</v>
      </c>
      <c r="D388" t="s">
        <v>364</v>
      </c>
      <c r="E388">
        <v>6</v>
      </c>
      <c r="F388">
        <v>100</v>
      </c>
    </row>
    <row r="389" spans="1:13" x14ac:dyDescent="0.2">
      <c r="A389" s="1" t="s">
        <v>187</v>
      </c>
      <c r="B389">
        <v>11</v>
      </c>
      <c r="C389">
        <v>39</v>
      </c>
      <c r="D389" t="s">
        <v>60</v>
      </c>
      <c r="E389">
        <v>3</v>
      </c>
      <c r="F389">
        <v>17</v>
      </c>
    </row>
    <row r="390" spans="1:13" x14ac:dyDescent="0.2">
      <c r="A390" s="1" t="s">
        <v>187</v>
      </c>
      <c r="B390">
        <v>222</v>
      </c>
      <c r="C390">
        <v>55</v>
      </c>
      <c r="D390" t="s">
        <v>60</v>
      </c>
      <c r="E390">
        <v>9</v>
      </c>
      <c r="F390">
        <v>13</v>
      </c>
    </row>
    <row r="391" spans="1:13" x14ac:dyDescent="0.2">
      <c r="A391" s="1" t="s">
        <v>187</v>
      </c>
      <c r="B391">
        <v>178</v>
      </c>
      <c r="C391">
        <v>32</v>
      </c>
      <c r="D391" t="s">
        <v>364</v>
      </c>
      <c r="E391">
        <v>3</v>
      </c>
      <c r="F391">
        <v>16</v>
      </c>
    </row>
    <row r="392" spans="1:13" x14ac:dyDescent="0.2">
      <c r="A392" s="1" t="s">
        <v>187</v>
      </c>
      <c r="B392">
        <v>133</v>
      </c>
      <c r="C392">
        <v>35</v>
      </c>
      <c r="D392" t="s">
        <v>364</v>
      </c>
      <c r="E392">
        <v>6</v>
      </c>
      <c r="F392">
        <v>12</v>
      </c>
    </row>
    <row r="393" spans="1:13" x14ac:dyDescent="0.2">
      <c r="A393" s="1" t="s">
        <v>191</v>
      </c>
      <c r="C393">
        <v>20</v>
      </c>
      <c r="D393" t="s">
        <v>60</v>
      </c>
      <c r="E393" t="s">
        <v>365</v>
      </c>
      <c r="F393">
        <v>10</v>
      </c>
      <c r="K393" t="s">
        <v>60</v>
      </c>
      <c r="L393">
        <v>2.5</v>
      </c>
      <c r="M393" t="s">
        <v>64</v>
      </c>
    </row>
    <row r="394" spans="1:13" x14ac:dyDescent="0.2">
      <c r="A394" s="1" t="s">
        <v>191</v>
      </c>
      <c r="C394">
        <v>32</v>
      </c>
      <c r="D394" t="s">
        <v>60</v>
      </c>
      <c r="E394" t="s">
        <v>365</v>
      </c>
      <c r="F394">
        <v>10</v>
      </c>
      <c r="K394" t="s">
        <v>60</v>
      </c>
      <c r="L394">
        <v>50.5</v>
      </c>
      <c r="M394" t="s">
        <v>64</v>
      </c>
    </row>
    <row r="395" spans="1:13" x14ac:dyDescent="0.2">
      <c r="A395" s="1" t="s">
        <v>191</v>
      </c>
      <c r="C395">
        <v>42</v>
      </c>
      <c r="D395" t="s">
        <v>60</v>
      </c>
      <c r="F395">
        <v>10</v>
      </c>
      <c r="K395" t="s">
        <v>63</v>
      </c>
      <c r="L395">
        <v>30.5</v>
      </c>
      <c r="M395" t="s">
        <v>61</v>
      </c>
    </row>
    <row r="396" spans="1:13" x14ac:dyDescent="0.2">
      <c r="A396" s="1" t="s">
        <v>191</v>
      </c>
      <c r="C396">
        <v>63</v>
      </c>
      <c r="D396" t="s">
        <v>364</v>
      </c>
      <c r="E396" t="s">
        <v>365</v>
      </c>
      <c r="F396">
        <v>8</v>
      </c>
      <c r="K396" t="s">
        <v>60</v>
      </c>
      <c r="L396">
        <v>14</v>
      </c>
      <c r="M396" t="s">
        <v>61</v>
      </c>
    </row>
    <row r="397" spans="1:13" x14ac:dyDescent="0.2">
      <c r="A397" s="1" t="s">
        <v>191</v>
      </c>
      <c r="C397">
        <v>69</v>
      </c>
      <c r="D397" t="s">
        <v>364</v>
      </c>
      <c r="E397" t="s">
        <v>365</v>
      </c>
      <c r="F397">
        <v>15</v>
      </c>
      <c r="K397" t="s">
        <v>60</v>
      </c>
      <c r="L397">
        <v>4</v>
      </c>
      <c r="M397" t="s">
        <v>61</v>
      </c>
    </row>
    <row r="398" spans="1:13" x14ac:dyDescent="0.2">
      <c r="A398" s="1" t="s">
        <v>194</v>
      </c>
      <c r="C398">
        <v>18</v>
      </c>
      <c r="D398" t="s">
        <v>60</v>
      </c>
      <c r="E398" t="s">
        <v>379</v>
      </c>
      <c r="F398">
        <v>11</v>
      </c>
      <c r="G398" t="s">
        <v>402</v>
      </c>
      <c r="H398" s="4"/>
      <c r="K398" t="s">
        <v>63</v>
      </c>
      <c r="L398">
        <v>60</v>
      </c>
      <c r="M398" t="s">
        <v>64</v>
      </c>
    </row>
    <row r="399" spans="1:13" x14ac:dyDescent="0.2">
      <c r="A399" s="1" t="s">
        <v>197</v>
      </c>
      <c r="C399">
        <v>32</v>
      </c>
      <c r="D399" t="s">
        <v>373</v>
      </c>
      <c r="E399" t="s">
        <v>365</v>
      </c>
      <c r="F399">
        <v>28</v>
      </c>
      <c r="K399" t="s">
        <v>60</v>
      </c>
      <c r="L399">
        <v>82.5</v>
      </c>
      <c r="M399" t="s">
        <v>61</v>
      </c>
    </row>
    <row r="400" spans="1:13" x14ac:dyDescent="0.2">
      <c r="A400" s="1" t="s">
        <v>197</v>
      </c>
      <c r="C400">
        <v>45</v>
      </c>
      <c r="D400" t="s">
        <v>373</v>
      </c>
      <c r="E400" t="s">
        <v>365</v>
      </c>
      <c r="F400">
        <v>28</v>
      </c>
      <c r="K400" t="s">
        <v>60</v>
      </c>
      <c r="L400">
        <v>74</v>
      </c>
      <c r="M400" t="s">
        <v>61</v>
      </c>
    </row>
    <row r="401" spans="1:13" x14ac:dyDescent="0.2">
      <c r="A401" s="1" t="s">
        <v>197</v>
      </c>
      <c r="C401">
        <v>40</v>
      </c>
      <c r="D401" t="s">
        <v>373</v>
      </c>
      <c r="E401" t="s">
        <v>365</v>
      </c>
      <c r="F401">
        <v>28</v>
      </c>
      <c r="K401" t="s">
        <v>60</v>
      </c>
      <c r="L401">
        <v>74</v>
      </c>
      <c r="M401" t="s">
        <v>61</v>
      </c>
    </row>
    <row r="402" spans="1:13" x14ac:dyDescent="0.2">
      <c r="A402" s="1" t="s">
        <v>200</v>
      </c>
      <c r="C402">
        <v>68</v>
      </c>
      <c r="D402" t="s">
        <v>364</v>
      </c>
      <c r="E402">
        <v>5</v>
      </c>
      <c r="F402">
        <v>12</v>
      </c>
      <c r="K402" t="s">
        <v>61</v>
      </c>
      <c r="L402">
        <v>0</v>
      </c>
      <c r="M402" t="s">
        <v>63</v>
      </c>
    </row>
    <row r="403" spans="1:13" x14ac:dyDescent="0.2">
      <c r="A403" s="1" t="s">
        <v>200</v>
      </c>
      <c r="C403">
        <v>68</v>
      </c>
      <c r="D403" t="s">
        <v>364</v>
      </c>
      <c r="E403">
        <v>5</v>
      </c>
      <c r="F403">
        <v>10</v>
      </c>
      <c r="K403" t="s">
        <v>63</v>
      </c>
      <c r="L403">
        <v>1.5</v>
      </c>
      <c r="M403" t="s">
        <v>61</v>
      </c>
    </row>
    <row r="404" spans="1:13" x14ac:dyDescent="0.2">
      <c r="A404" s="1" t="s">
        <v>200</v>
      </c>
      <c r="C404">
        <v>57</v>
      </c>
      <c r="D404" t="s">
        <v>364</v>
      </c>
      <c r="E404">
        <v>3</v>
      </c>
      <c r="F404">
        <v>14</v>
      </c>
      <c r="K404" t="s">
        <v>61</v>
      </c>
      <c r="L404">
        <v>0</v>
      </c>
      <c r="M404" t="s">
        <v>63</v>
      </c>
    </row>
    <row r="405" spans="1:13" x14ac:dyDescent="0.2">
      <c r="A405" s="1" t="s">
        <v>200</v>
      </c>
      <c r="C405">
        <v>60</v>
      </c>
      <c r="D405" t="s">
        <v>364</v>
      </c>
      <c r="E405">
        <v>5</v>
      </c>
      <c r="F405">
        <v>14</v>
      </c>
      <c r="K405" t="s">
        <v>63</v>
      </c>
      <c r="L405">
        <v>70</v>
      </c>
      <c r="M405" t="s">
        <v>61</v>
      </c>
    </row>
    <row r="406" spans="1:13" x14ac:dyDescent="0.2">
      <c r="A406" s="1" t="s">
        <v>200</v>
      </c>
      <c r="C406">
        <v>14</v>
      </c>
      <c r="D406" t="s">
        <v>364</v>
      </c>
      <c r="E406">
        <v>3</v>
      </c>
      <c r="F406">
        <v>10</v>
      </c>
      <c r="K406" t="s">
        <v>63</v>
      </c>
      <c r="L406">
        <v>8</v>
      </c>
      <c r="M406" t="s">
        <v>61</v>
      </c>
    </row>
    <row r="407" spans="1:13" x14ac:dyDescent="0.2">
      <c r="A407" s="1" t="s">
        <v>200</v>
      </c>
      <c r="C407">
        <v>63</v>
      </c>
      <c r="D407" t="s">
        <v>60</v>
      </c>
      <c r="E407" t="s">
        <v>365</v>
      </c>
      <c r="F407">
        <v>8</v>
      </c>
      <c r="K407" t="s">
        <v>63</v>
      </c>
      <c r="L407">
        <v>2</v>
      </c>
      <c r="M407" t="s">
        <v>61</v>
      </c>
    </row>
    <row r="408" spans="1:13" x14ac:dyDescent="0.2">
      <c r="A408" s="1" t="s">
        <v>200</v>
      </c>
      <c r="C408">
        <v>81</v>
      </c>
      <c r="D408" t="s">
        <v>364</v>
      </c>
      <c r="E408">
        <v>3</v>
      </c>
      <c r="F408">
        <v>6</v>
      </c>
      <c r="G408" t="s">
        <v>403</v>
      </c>
      <c r="H408" s="4"/>
      <c r="K408" t="s">
        <v>60</v>
      </c>
      <c r="L408">
        <v>4</v>
      </c>
      <c r="M408" t="s">
        <v>64</v>
      </c>
    </row>
    <row r="409" spans="1:13" x14ac:dyDescent="0.2">
      <c r="A409" s="1" t="s">
        <v>200</v>
      </c>
      <c r="C409">
        <v>82</v>
      </c>
      <c r="D409" t="s">
        <v>60</v>
      </c>
      <c r="E409" t="s">
        <v>365</v>
      </c>
      <c r="F409">
        <v>3</v>
      </c>
      <c r="G409" t="s">
        <v>403</v>
      </c>
      <c r="H409" s="4"/>
      <c r="K409" t="s">
        <v>60</v>
      </c>
      <c r="L409">
        <v>1</v>
      </c>
      <c r="M409" t="s">
        <v>64</v>
      </c>
    </row>
    <row r="410" spans="1:13" x14ac:dyDescent="0.2">
      <c r="A410" s="1" t="s">
        <v>200</v>
      </c>
      <c r="C410">
        <v>102</v>
      </c>
      <c r="D410" t="s">
        <v>364</v>
      </c>
      <c r="E410" t="s">
        <v>365</v>
      </c>
      <c r="F410">
        <v>4</v>
      </c>
      <c r="G410" t="s">
        <v>403</v>
      </c>
      <c r="H410" s="4"/>
      <c r="K410" t="s">
        <v>60</v>
      </c>
      <c r="L410">
        <v>5.5</v>
      </c>
      <c r="M410" t="s">
        <v>64</v>
      </c>
    </row>
    <row r="411" spans="1:13" x14ac:dyDescent="0.2">
      <c r="A411" s="1" t="s">
        <v>200</v>
      </c>
      <c r="C411">
        <v>99</v>
      </c>
      <c r="D411" t="s">
        <v>373</v>
      </c>
      <c r="E411" t="s">
        <v>365</v>
      </c>
      <c r="F411">
        <v>48</v>
      </c>
      <c r="G411" t="s">
        <v>403</v>
      </c>
      <c r="H411" s="4"/>
      <c r="K411" t="s">
        <v>60</v>
      </c>
      <c r="L411">
        <v>5.5</v>
      </c>
      <c r="M411" t="s">
        <v>64</v>
      </c>
    </row>
    <row r="412" spans="1:13" x14ac:dyDescent="0.2">
      <c r="A412" s="1" t="s">
        <v>200</v>
      </c>
      <c r="C412">
        <v>94</v>
      </c>
      <c r="D412" t="s">
        <v>364</v>
      </c>
      <c r="E412" t="s">
        <v>365</v>
      </c>
      <c r="F412">
        <v>4</v>
      </c>
      <c r="K412" t="s">
        <v>60</v>
      </c>
      <c r="L412">
        <v>2</v>
      </c>
      <c r="M412" t="s">
        <v>64</v>
      </c>
    </row>
    <row r="413" spans="1:13" x14ac:dyDescent="0.2">
      <c r="A413" s="1" t="s">
        <v>200</v>
      </c>
      <c r="C413">
        <v>94</v>
      </c>
      <c r="D413" t="s">
        <v>364</v>
      </c>
      <c r="E413" t="s">
        <v>365</v>
      </c>
      <c r="F413">
        <v>4</v>
      </c>
      <c r="K413" t="s">
        <v>60</v>
      </c>
      <c r="L413">
        <v>2</v>
      </c>
      <c r="M413" t="s">
        <v>64</v>
      </c>
    </row>
    <row r="414" spans="1:13" x14ac:dyDescent="0.2">
      <c r="A414" s="1" t="s">
        <v>200</v>
      </c>
      <c r="C414">
        <v>98</v>
      </c>
      <c r="D414" t="s">
        <v>60</v>
      </c>
      <c r="E414" t="s">
        <v>365</v>
      </c>
      <c r="F414">
        <v>3</v>
      </c>
      <c r="K414" t="s">
        <v>60</v>
      </c>
      <c r="L414">
        <v>0</v>
      </c>
      <c r="M414" t="s">
        <v>61</v>
      </c>
    </row>
    <row r="415" spans="1:13" x14ac:dyDescent="0.2">
      <c r="A415" s="1" t="s">
        <v>200</v>
      </c>
      <c r="C415">
        <v>49</v>
      </c>
      <c r="D415" t="s">
        <v>364</v>
      </c>
      <c r="E415">
        <v>5</v>
      </c>
      <c r="F415">
        <v>8</v>
      </c>
      <c r="K415" t="s">
        <v>60</v>
      </c>
      <c r="L415">
        <v>64.5</v>
      </c>
      <c r="M415" t="s">
        <v>61</v>
      </c>
    </row>
    <row r="416" spans="1:13" x14ac:dyDescent="0.2">
      <c r="A416" s="1" t="s">
        <v>200</v>
      </c>
      <c r="C416">
        <v>56</v>
      </c>
      <c r="D416" t="s">
        <v>364</v>
      </c>
      <c r="E416">
        <v>5</v>
      </c>
      <c r="F416">
        <v>4</v>
      </c>
      <c r="K416" t="s">
        <v>60</v>
      </c>
      <c r="L416">
        <v>57.5</v>
      </c>
      <c r="M416" t="s">
        <v>61</v>
      </c>
    </row>
    <row r="417" spans="1:13" x14ac:dyDescent="0.2">
      <c r="A417" s="1" t="s">
        <v>203</v>
      </c>
      <c r="C417">
        <v>71</v>
      </c>
      <c r="D417" t="s">
        <v>60</v>
      </c>
      <c r="E417" t="s">
        <v>365</v>
      </c>
      <c r="F417">
        <v>5</v>
      </c>
      <c r="K417" t="s">
        <v>64</v>
      </c>
      <c r="L417">
        <v>0</v>
      </c>
      <c r="M417" t="s">
        <v>60</v>
      </c>
    </row>
    <row r="418" spans="1:13" x14ac:dyDescent="0.2">
      <c r="A418" s="1" t="s">
        <v>203</v>
      </c>
      <c r="C418">
        <v>50</v>
      </c>
      <c r="D418" t="s">
        <v>60</v>
      </c>
      <c r="E418">
        <v>4</v>
      </c>
      <c r="F418">
        <v>14</v>
      </c>
      <c r="K418" t="s">
        <v>60</v>
      </c>
      <c r="L418">
        <v>39</v>
      </c>
      <c r="M418" t="s">
        <v>64</v>
      </c>
    </row>
    <row r="419" spans="1:13" x14ac:dyDescent="0.2">
      <c r="A419" s="1" t="s">
        <v>203</v>
      </c>
      <c r="C419">
        <v>43</v>
      </c>
      <c r="D419" t="s">
        <v>60</v>
      </c>
      <c r="E419">
        <v>5</v>
      </c>
      <c r="F419">
        <v>8</v>
      </c>
      <c r="K419" t="s">
        <v>60</v>
      </c>
      <c r="L419">
        <v>30</v>
      </c>
      <c r="M419" t="s">
        <v>64</v>
      </c>
    </row>
    <row r="420" spans="1:13" x14ac:dyDescent="0.2">
      <c r="A420" s="1" t="s">
        <v>203</v>
      </c>
      <c r="C420">
        <v>74</v>
      </c>
      <c r="D420" t="s">
        <v>373</v>
      </c>
      <c r="E420" t="s">
        <v>365</v>
      </c>
      <c r="F420">
        <v>48</v>
      </c>
      <c r="K420" t="s">
        <v>60</v>
      </c>
      <c r="L420">
        <v>40</v>
      </c>
      <c r="M420" t="s">
        <v>64</v>
      </c>
    </row>
    <row r="421" spans="1:13" x14ac:dyDescent="0.2">
      <c r="A421" s="1" t="s">
        <v>203</v>
      </c>
      <c r="C421">
        <v>73</v>
      </c>
      <c r="D421" t="s">
        <v>364</v>
      </c>
      <c r="E421" t="s">
        <v>365</v>
      </c>
      <c r="F421">
        <v>10</v>
      </c>
      <c r="K421" t="s">
        <v>60</v>
      </c>
      <c r="L421">
        <v>46</v>
      </c>
      <c r="M421" t="s">
        <v>64</v>
      </c>
    </row>
    <row r="422" spans="1:13" x14ac:dyDescent="0.2">
      <c r="A422" s="1" t="s">
        <v>203</v>
      </c>
      <c r="C422">
        <v>52</v>
      </c>
      <c r="D422" t="s">
        <v>60</v>
      </c>
      <c r="E422" t="s">
        <v>365</v>
      </c>
      <c r="F422">
        <v>6</v>
      </c>
      <c r="K422" t="s">
        <v>60</v>
      </c>
      <c r="L422">
        <v>24</v>
      </c>
      <c r="M422" t="s">
        <v>64</v>
      </c>
    </row>
    <row r="423" spans="1:13" x14ac:dyDescent="0.2">
      <c r="A423" s="1" t="s">
        <v>203</v>
      </c>
      <c r="C423">
        <v>78</v>
      </c>
      <c r="D423" t="s">
        <v>375</v>
      </c>
      <c r="E423" t="s">
        <v>365</v>
      </c>
      <c r="F423">
        <v>6</v>
      </c>
      <c r="K423" t="s">
        <v>60</v>
      </c>
      <c r="L423">
        <v>20.5</v>
      </c>
      <c r="M423" t="s">
        <v>64</v>
      </c>
    </row>
    <row r="424" spans="1:13" x14ac:dyDescent="0.2">
      <c r="A424" s="1" t="s">
        <v>203</v>
      </c>
      <c r="C424">
        <v>80</v>
      </c>
      <c r="D424" t="s">
        <v>364</v>
      </c>
      <c r="E424">
        <v>3</v>
      </c>
      <c r="F424">
        <v>12</v>
      </c>
      <c r="K424" t="s">
        <v>60</v>
      </c>
      <c r="L424">
        <v>22.5</v>
      </c>
      <c r="M424" t="s">
        <v>64</v>
      </c>
    </row>
    <row r="425" spans="1:13" x14ac:dyDescent="0.2">
      <c r="A425" s="1" t="s">
        <v>203</v>
      </c>
      <c r="C425">
        <v>91</v>
      </c>
      <c r="D425" t="s">
        <v>364</v>
      </c>
      <c r="E425">
        <v>7</v>
      </c>
      <c r="F425">
        <v>12</v>
      </c>
      <c r="K425" t="s">
        <v>60</v>
      </c>
      <c r="L425">
        <v>1</v>
      </c>
      <c r="M425" t="s">
        <v>64</v>
      </c>
    </row>
    <row r="426" spans="1:13" x14ac:dyDescent="0.2">
      <c r="A426" s="1" t="s">
        <v>203</v>
      </c>
      <c r="C426">
        <v>85</v>
      </c>
      <c r="D426" t="s">
        <v>373</v>
      </c>
      <c r="E426" t="s">
        <v>365</v>
      </c>
      <c r="F426">
        <v>30</v>
      </c>
      <c r="K426" t="s">
        <v>60</v>
      </c>
      <c r="L426">
        <v>2</v>
      </c>
      <c r="M426" t="s">
        <v>61</v>
      </c>
    </row>
    <row r="427" spans="1:13" x14ac:dyDescent="0.2">
      <c r="A427" s="1" t="s">
        <v>203</v>
      </c>
      <c r="C427">
        <v>91</v>
      </c>
      <c r="D427" t="s">
        <v>364</v>
      </c>
      <c r="E427" t="s">
        <v>365</v>
      </c>
      <c r="F427">
        <v>12</v>
      </c>
      <c r="K427" t="s">
        <v>60</v>
      </c>
      <c r="L427">
        <v>10</v>
      </c>
      <c r="M427" t="s">
        <v>64</v>
      </c>
    </row>
    <row r="428" spans="1:13" x14ac:dyDescent="0.2">
      <c r="A428" s="1" t="s">
        <v>203</v>
      </c>
      <c r="C428">
        <v>57</v>
      </c>
      <c r="D428" t="s">
        <v>373</v>
      </c>
      <c r="E428" t="s">
        <v>365</v>
      </c>
      <c r="F428">
        <v>48</v>
      </c>
      <c r="K428" t="s">
        <v>60</v>
      </c>
      <c r="L428">
        <v>9</v>
      </c>
      <c r="M428" t="s">
        <v>61</v>
      </c>
    </row>
    <row r="429" spans="1:13" x14ac:dyDescent="0.2">
      <c r="A429" s="1" t="s">
        <v>203</v>
      </c>
      <c r="C429">
        <v>63</v>
      </c>
      <c r="D429" t="s">
        <v>364</v>
      </c>
      <c r="E429">
        <v>4</v>
      </c>
      <c r="F429">
        <v>10</v>
      </c>
      <c r="K429" t="s">
        <v>60</v>
      </c>
      <c r="L429">
        <v>9</v>
      </c>
      <c r="M429" t="s">
        <v>61</v>
      </c>
    </row>
    <row r="430" spans="1:13" x14ac:dyDescent="0.2">
      <c r="A430" s="1" t="s">
        <v>203</v>
      </c>
      <c r="C430">
        <v>74</v>
      </c>
      <c r="D430" t="s">
        <v>60</v>
      </c>
      <c r="E430">
        <v>2</v>
      </c>
      <c r="F430">
        <v>6</v>
      </c>
      <c r="K430" t="s">
        <v>60</v>
      </c>
      <c r="L430">
        <v>26</v>
      </c>
      <c r="M430" t="s">
        <v>64</v>
      </c>
    </row>
    <row r="431" spans="1:13" x14ac:dyDescent="0.2">
      <c r="A431" s="1" t="s">
        <v>203</v>
      </c>
      <c r="C431">
        <v>43</v>
      </c>
      <c r="D431" t="s">
        <v>60</v>
      </c>
      <c r="E431" t="s">
        <v>365</v>
      </c>
      <c r="F431">
        <v>8</v>
      </c>
      <c r="K431" t="s">
        <v>60</v>
      </c>
      <c r="L431">
        <v>30.5</v>
      </c>
      <c r="M431" t="s">
        <v>64</v>
      </c>
    </row>
    <row r="432" spans="1:13" x14ac:dyDescent="0.2">
      <c r="A432" s="1" t="s">
        <v>203</v>
      </c>
      <c r="C432">
        <v>81</v>
      </c>
      <c r="D432" t="s">
        <v>364</v>
      </c>
      <c r="E432" t="s">
        <v>365</v>
      </c>
      <c r="F432">
        <v>6</v>
      </c>
      <c r="K432" t="s">
        <v>60</v>
      </c>
      <c r="L432">
        <v>2</v>
      </c>
      <c r="M432" t="s">
        <v>61</v>
      </c>
    </row>
    <row r="433" spans="1:13" x14ac:dyDescent="0.2">
      <c r="A433" s="1" t="s">
        <v>203</v>
      </c>
      <c r="C433">
        <v>85</v>
      </c>
      <c r="D433" t="s">
        <v>364</v>
      </c>
      <c r="E433" t="s">
        <v>365</v>
      </c>
      <c r="F433">
        <v>6</v>
      </c>
      <c r="K433" t="s">
        <v>60</v>
      </c>
      <c r="L433">
        <v>9</v>
      </c>
      <c r="M433" t="s">
        <v>61</v>
      </c>
    </row>
    <row r="434" spans="1:13" x14ac:dyDescent="0.2">
      <c r="A434" s="1" t="s">
        <v>206</v>
      </c>
      <c r="C434">
        <v>95</v>
      </c>
      <c r="D434" t="s">
        <v>364</v>
      </c>
      <c r="E434" t="s">
        <v>365</v>
      </c>
      <c r="F434">
        <v>12</v>
      </c>
      <c r="K434" t="s">
        <v>63</v>
      </c>
      <c r="L434">
        <v>88.5</v>
      </c>
      <c r="M434" t="s">
        <v>61</v>
      </c>
    </row>
    <row r="435" spans="1:13" x14ac:dyDescent="0.2">
      <c r="A435" s="1" t="s">
        <v>206</v>
      </c>
      <c r="C435">
        <v>44</v>
      </c>
      <c r="D435" t="s">
        <v>364</v>
      </c>
      <c r="E435">
        <v>5</v>
      </c>
      <c r="F435">
        <v>12</v>
      </c>
      <c r="K435" t="s">
        <v>63</v>
      </c>
      <c r="L435">
        <v>47</v>
      </c>
      <c r="M435" t="s">
        <v>61</v>
      </c>
    </row>
    <row r="436" spans="1:13" x14ac:dyDescent="0.2">
      <c r="A436" s="1" t="s">
        <v>206</v>
      </c>
      <c r="C436">
        <v>46</v>
      </c>
      <c r="D436" t="s">
        <v>60</v>
      </c>
      <c r="E436" t="s">
        <v>365</v>
      </c>
      <c r="F436">
        <v>6</v>
      </c>
      <c r="K436" t="s">
        <v>63</v>
      </c>
      <c r="L436">
        <v>52</v>
      </c>
      <c r="M436" t="s">
        <v>61</v>
      </c>
    </row>
    <row r="437" spans="1:13" x14ac:dyDescent="0.2">
      <c r="A437" s="1" t="s">
        <v>206</v>
      </c>
      <c r="C437">
        <v>59</v>
      </c>
      <c r="D437" t="s">
        <v>364</v>
      </c>
      <c r="E437">
        <v>5</v>
      </c>
      <c r="F437">
        <v>6</v>
      </c>
      <c r="K437" t="s">
        <v>63</v>
      </c>
      <c r="L437">
        <v>34</v>
      </c>
      <c r="M437" t="s">
        <v>61</v>
      </c>
    </row>
    <row r="438" spans="1:13" x14ac:dyDescent="0.2">
      <c r="A438" s="1" t="s">
        <v>209</v>
      </c>
      <c r="B438">
        <v>263</v>
      </c>
      <c r="C438">
        <v>59</v>
      </c>
      <c r="D438" t="s">
        <v>364</v>
      </c>
      <c r="E438" t="s">
        <v>365</v>
      </c>
      <c r="F438">
        <v>3</v>
      </c>
    </row>
    <row r="439" spans="1:13" x14ac:dyDescent="0.2">
      <c r="A439" s="1" t="s">
        <v>209</v>
      </c>
      <c r="B439">
        <v>255</v>
      </c>
      <c r="C439">
        <v>57</v>
      </c>
      <c r="D439" t="s">
        <v>60</v>
      </c>
      <c r="E439" t="s">
        <v>365</v>
      </c>
      <c r="F439">
        <v>3</v>
      </c>
    </row>
    <row r="440" spans="1:13" x14ac:dyDescent="0.2">
      <c r="A440" s="1" t="s">
        <v>209</v>
      </c>
      <c r="B440">
        <v>251</v>
      </c>
      <c r="C440">
        <v>60</v>
      </c>
      <c r="D440" t="s">
        <v>60</v>
      </c>
      <c r="E440" t="s">
        <v>365</v>
      </c>
      <c r="F440">
        <v>3</v>
      </c>
    </row>
    <row r="441" spans="1:13" x14ac:dyDescent="0.2">
      <c r="A441" s="1" t="s">
        <v>209</v>
      </c>
      <c r="B441">
        <v>256</v>
      </c>
      <c r="C441">
        <v>57</v>
      </c>
      <c r="D441" t="s">
        <v>60</v>
      </c>
      <c r="E441">
        <v>2</v>
      </c>
      <c r="F441">
        <v>4</v>
      </c>
    </row>
    <row r="442" spans="1:13" x14ac:dyDescent="0.2">
      <c r="A442" s="1" t="s">
        <v>209</v>
      </c>
      <c r="B442">
        <v>251</v>
      </c>
      <c r="C442">
        <v>78</v>
      </c>
      <c r="D442" t="s">
        <v>364</v>
      </c>
      <c r="E442">
        <v>3</v>
      </c>
      <c r="F442">
        <v>8</v>
      </c>
    </row>
    <row r="443" spans="1:13" x14ac:dyDescent="0.2">
      <c r="A443" s="1" t="s">
        <v>209</v>
      </c>
      <c r="B443">
        <v>259</v>
      </c>
      <c r="C443">
        <v>90</v>
      </c>
      <c r="D443" t="s">
        <v>397</v>
      </c>
      <c r="E443" t="s">
        <v>365</v>
      </c>
      <c r="F443">
        <v>10</v>
      </c>
    </row>
    <row r="444" spans="1:13" x14ac:dyDescent="0.2">
      <c r="A444" s="1" t="s">
        <v>209</v>
      </c>
      <c r="B444">
        <v>269</v>
      </c>
      <c r="C444">
        <v>76</v>
      </c>
      <c r="D444" t="s">
        <v>386</v>
      </c>
      <c r="E444">
        <v>4</v>
      </c>
      <c r="F444">
        <v>8</v>
      </c>
    </row>
    <row r="445" spans="1:13" x14ac:dyDescent="0.2">
      <c r="A445" s="1" t="s">
        <v>209</v>
      </c>
      <c r="B445">
        <v>345</v>
      </c>
      <c r="C445">
        <v>12</v>
      </c>
      <c r="D445" t="s">
        <v>60</v>
      </c>
      <c r="E445" t="s">
        <v>365</v>
      </c>
      <c r="F445">
        <v>5</v>
      </c>
    </row>
    <row r="446" spans="1:13" x14ac:dyDescent="0.2">
      <c r="A446" s="1" t="s">
        <v>209</v>
      </c>
      <c r="B446">
        <v>356</v>
      </c>
      <c r="C446">
        <v>8</v>
      </c>
      <c r="D446" t="s">
        <v>364</v>
      </c>
      <c r="E446" t="s">
        <v>365</v>
      </c>
      <c r="F446">
        <v>3</v>
      </c>
    </row>
    <row r="447" spans="1:13" x14ac:dyDescent="0.2">
      <c r="A447" s="1" t="s">
        <v>213</v>
      </c>
      <c r="B447">
        <v>260</v>
      </c>
      <c r="C447">
        <v>52</v>
      </c>
      <c r="D447" t="s">
        <v>364</v>
      </c>
      <c r="E447">
        <v>6</v>
      </c>
      <c r="F447">
        <v>6</v>
      </c>
    </row>
    <row r="448" spans="1:13" x14ac:dyDescent="0.2">
      <c r="A448" s="1" t="s">
        <v>213</v>
      </c>
      <c r="B448">
        <v>271</v>
      </c>
      <c r="C448">
        <v>5</v>
      </c>
      <c r="D448" t="s">
        <v>364</v>
      </c>
      <c r="E448" t="s">
        <v>365</v>
      </c>
      <c r="F448">
        <v>4</v>
      </c>
    </row>
    <row r="449" spans="1:13" x14ac:dyDescent="0.2">
      <c r="A449" s="1" t="s">
        <v>213</v>
      </c>
      <c r="B449">
        <v>154</v>
      </c>
      <c r="C449">
        <v>7</v>
      </c>
      <c r="D449" t="s">
        <v>364</v>
      </c>
      <c r="E449" t="s">
        <v>365</v>
      </c>
      <c r="F449">
        <v>5</v>
      </c>
    </row>
    <row r="450" spans="1:13" x14ac:dyDescent="0.2">
      <c r="A450" s="1" t="s">
        <v>213</v>
      </c>
      <c r="B450">
        <v>120</v>
      </c>
      <c r="C450">
        <v>5</v>
      </c>
      <c r="D450" t="s">
        <v>364</v>
      </c>
      <c r="E450" t="s">
        <v>365</v>
      </c>
      <c r="F450">
        <v>4</v>
      </c>
    </row>
    <row r="451" spans="1:13" x14ac:dyDescent="0.2">
      <c r="A451" s="1" t="s">
        <v>213</v>
      </c>
      <c r="B451">
        <v>271</v>
      </c>
      <c r="C451">
        <v>5</v>
      </c>
      <c r="D451" t="s">
        <v>373</v>
      </c>
      <c r="E451" t="s">
        <v>365</v>
      </c>
    </row>
    <row r="452" spans="1:13" x14ac:dyDescent="0.2">
      <c r="A452" s="1" t="s">
        <v>213</v>
      </c>
      <c r="B452">
        <v>12</v>
      </c>
      <c r="C452">
        <v>19</v>
      </c>
      <c r="D452" t="s">
        <v>60</v>
      </c>
      <c r="E452" t="s">
        <v>365</v>
      </c>
      <c r="F452">
        <v>6</v>
      </c>
    </row>
    <row r="453" spans="1:13" x14ac:dyDescent="0.2">
      <c r="A453" s="1" t="s">
        <v>213</v>
      </c>
      <c r="B453">
        <v>0</v>
      </c>
      <c r="C453">
        <v>17</v>
      </c>
      <c r="D453" t="s">
        <v>364</v>
      </c>
      <c r="E453" t="s">
        <v>365</v>
      </c>
      <c r="F453">
        <v>6</v>
      </c>
    </row>
    <row r="454" spans="1:13" x14ac:dyDescent="0.2">
      <c r="A454" s="1" t="s">
        <v>213</v>
      </c>
      <c r="B454">
        <v>25</v>
      </c>
      <c r="C454">
        <v>35</v>
      </c>
      <c r="D454" t="s">
        <v>364</v>
      </c>
      <c r="E454">
        <v>4</v>
      </c>
      <c r="F454">
        <v>10</v>
      </c>
    </row>
    <row r="455" spans="1:13" x14ac:dyDescent="0.2">
      <c r="A455" s="1" t="s">
        <v>213</v>
      </c>
      <c r="B455">
        <v>25</v>
      </c>
      <c r="C455">
        <v>28</v>
      </c>
      <c r="D455" t="s">
        <v>60</v>
      </c>
      <c r="E455" t="s">
        <v>365</v>
      </c>
      <c r="F455">
        <v>6</v>
      </c>
    </row>
    <row r="456" spans="1:13" x14ac:dyDescent="0.2">
      <c r="A456" s="1" t="s">
        <v>213</v>
      </c>
      <c r="B456">
        <v>52</v>
      </c>
      <c r="C456">
        <v>25</v>
      </c>
      <c r="D456" t="s">
        <v>60</v>
      </c>
      <c r="E456" t="s">
        <v>365</v>
      </c>
      <c r="F456">
        <v>10</v>
      </c>
    </row>
    <row r="457" spans="1:13" x14ac:dyDescent="0.2">
      <c r="A457" s="1" t="s">
        <v>220</v>
      </c>
      <c r="C457">
        <v>75</v>
      </c>
      <c r="D457" t="s">
        <v>60</v>
      </c>
      <c r="E457">
        <v>1</v>
      </c>
      <c r="F457">
        <v>16</v>
      </c>
      <c r="K457" t="s">
        <v>60</v>
      </c>
      <c r="L457">
        <v>85.5</v>
      </c>
      <c r="M457" t="s">
        <v>61</v>
      </c>
    </row>
    <row r="458" spans="1:13" x14ac:dyDescent="0.2">
      <c r="A458" s="1" t="s">
        <v>220</v>
      </c>
      <c r="C458">
        <v>72</v>
      </c>
      <c r="D458" t="s">
        <v>60</v>
      </c>
      <c r="E458" t="s">
        <v>365</v>
      </c>
      <c r="F458">
        <v>14</v>
      </c>
      <c r="K458" t="s">
        <v>63</v>
      </c>
      <c r="L458">
        <v>84</v>
      </c>
      <c r="M458" t="s">
        <v>61</v>
      </c>
    </row>
    <row r="459" spans="1:13" x14ac:dyDescent="0.2">
      <c r="A459" s="1" t="s">
        <v>220</v>
      </c>
      <c r="C459">
        <v>54</v>
      </c>
      <c r="D459" t="s">
        <v>60</v>
      </c>
      <c r="E459">
        <v>2</v>
      </c>
      <c r="F459">
        <v>10</v>
      </c>
      <c r="K459" t="s">
        <v>63</v>
      </c>
      <c r="L459">
        <v>82</v>
      </c>
      <c r="M459" t="s">
        <v>61</v>
      </c>
    </row>
    <row r="460" spans="1:13" x14ac:dyDescent="0.2">
      <c r="A460" s="1" t="s">
        <v>220</v>
      </c>
      <c r="C460">
        <v>30</v>
      </c>
      <c r="D460" t="s">
        <v>364</v>
      </c>
      <c r="E460">
        <v>3</v>
      </c>
      <c r="F460">
        <v>18</v>
      </c>
      <c r="K460" t="s">
        <v>63</v>
      </c>
      <c r="L460">
        <v>1</v>
      </c>
      <c r="M460" t="s">
        <v>64</v>
      </c>
    </row>
    <row r="461" spans="1:13" x14ac:dyDescent="0.2">
      <c r="A461" s="1" t="s">
        <v>220</v>
      </c>
      <c r="C461">
        <v>35</v>
      </c>
      <c r="D461" t="s">
        <v>60</v>
      </c>
      <c r="E461" t="s">
        <v>365</v>
      </c>
      <c r="F461">
        <v>4</v>
      </c>
      <c r="K461" t="s">
        <v>63</v>
      </c>
      <c r="L461">
        <v>1</v>
      </c>
      <c r="M461" t="s">
        <v>64</v>
      </c>
    </row>
    <row r="462" spans="1:13" x14ac:dyDescent="0.2">
      <c r="A462" s="1" t="s">
        <v>220</v>
      </c>
      <c r="C462">
        <v>23</v>
      </c>
      <c r="D462" t="s">
        <v>364</v>
      </c>
      <c r="E462">
        <v>3</v>
      </c>
      <c r="F462">
        <v>8</v>
      </c>
      <c r="K462" t="s">
        <v>63</v>
      </c>
      <c r="L462">
        <v>5</v>
      </c>
      <c r="M462" t="s">
        <v>61</v>
      </c>
    </row>
    <row r="463" spans="1:13" x14ac:dyDescent="0.2">
      <c r="A463" s="1" t="s">
        <v>220</v>
      </c>
      <c r="C463">
        <v>70</v>
      </c>
      <c r="D463" t="s">
        <v>364</v>
      </c>
      <c r="E463" t="s">
        <v>365</v>
      </c>
      <c r="F463">
        <v>14</v>
      </c>
      <c r="K463" t="s">
        <v>60</v>
      </c>
      <c r="L463">
        <v>88.5</v>
      </c>
      <c r="M463" t="s">
        <v>64</v>
      </c>
    </row>
    <row r="464" spans="1:13" x14ac:dyDescent="0.2">
      <c r="A464" s="1" t="s">
        <v>220</v>
      </c>
      <c r="C464">
        <v>24</v>
      </c>
      <c r="D464" t="s">
        <v>60</v>
      </c>
      <c r="E464" t="s">
        <v>379</v>
      </c>
      <c r="F464">
        <v>6</v>
      </c>
      <c r="K464" t="s">
        <v>63</v>
      </c>
      <c r="L464">
        <v>88.5</v>
      </c>
      <c r="M464" t="s">
        <v>64</v>
      </c>
    </row>
    <row r="465" spans="1:13" x14ac:dyDescent="0.2">
      <c r="A465" s="1" t="s">
        <v>220</v>
      </c>
      <c r="C465">
        <v>67</v>
      </c>
      <c r="D465" t="s">
        <v>364</v>
      </c>
      <c r="E465">
        <v>4</v>
      </c>
      <c r="F465">
        <v>14</v>
      </c>
      <c r="K465" t="s">
        <v>60</v>
      </c>
      <c r="L465">
        <v>77.5</v>
      </c>
      <c r="M465" t="s">
        <v>64</v>
      </c>
    </row>
    <row r="466" spans="1:13" x14ac:dyDescent="0.2">
      <c r="A466" s="1" t="s">
        <v>220</v>
      </c>
      <c r="C466">
        <v>85</v>
      </c>
      <c r="D466" t="s">
        <v>364</v>
      </c>
      <c r="E466" t="s">
        <v>365</v>
      </c>
      <c r="F466">
        <v>18</v>
      </c>
      <c r="K466" t="s">
        <v>64</v>
      </c>
      <c r="L466">
        <v>0</v>
      </c>
      <c r="M466" t="s">
        <v>63</v>
      </c>
    </row>
    <row r="467" spans="1:13" x14ac:dyDescent="0.2">
      <c r="A467" s="1" t="s">
        <v>220</v>
      </c>
      <c r="C467">
        <v>85</v>
      </c>
      <c r="D467" t="s">
        <v>364</v>
      </c>
      <c r="E467" t="s">
        <v>379</v>
      </c>
      <c r="F467">
        <v>14</v>
      </c>
      <c r="K467" t="s">
        <v>60</v>
      </c>
      <c r="L467">
        <v>77.5</v>
      </c>
      <c r="M467" t="s">
        <v>64</v>
      </c>
    </row>
    <row r="468" spans="1:13" x14ac:dyDescent="0.2">
      <c r="A468" s="1" t="s">
        <v>225</v>
      </c>
      <c r="C468">
        <v>53</v>
      </c>
      <c r="D468" t="s">
        <v>60</v>
      </c>
      <c r="E468">
        <v>1</v>
      </c>
      <c r="F468">
        <v>16</v>
      </c>
      <c r="K468" t="s">
        <v>60</v>
      </c>
      <c r="L468">
        <v>10</v>
      </c>
      <c r="M468" t="s">
        <v>64</v>
      </c>
    </row>
    <row r="469" spans="1:13" x14ac:dyDescent="0.2">
      <c r="A469" s="1" t="s">
        <v>228</v>
      </c>
      <c r="C469">
        <v>82</v>
      </c>
      <c r="D469" t="s">
        <v>364</v>
      </c>
      <c r="E469" t="s">
        <v>365</v>
      </c>
      <c r="F469">
        <v>6</v>
      </c>
      <c r="K469" t="s">
        <v>63</v>
      </c>
      <c r="L469">
        <v>52</v>
      </c>
      <c r="M469" t="s">
        <v>61</v>
      </c>
    </row>
    <row r="470" spans="1:13" x14ac:dyDescent="0.2">
      <c r="A470" s="1" t="s">
        <v>228</v>
      </c>
      <c r="C470">
        <v>88</v>
      </c>
      <c r="D470" t="s">
        <v>364</v>
      </c>
      <c r="E470" t="s">
        <v>365</v>
      </c>
      <c r="F470">
        <v>10</v>
      </c>
      <c r="K470" t="s">
        <v>63</v>
      </c>
      <c r="L470">
        <v>83</v>
      </c>
      <c r="M470" t="s">
        <v>61</v>
      </c>
    </row>
    <row r="471" spans="1:13" x14ac:dyDescent="0.2">
      <c r="A471" s="1" t="s">
        <v>228</v>
      </c>
      <c r="C471">
        <v>81</v>
      </c>
      <c r="D471" t="s">
        <v>370</v>
      </c>
      <c r="E471">
        <v>6</v>
      </c>
      <c r="F471">
        <v>6</v>
      </c>
      <c r="K471" t="s">
        <v>63</v>
      </c>
      <c r="L471">
        <v>83</v>
      </c>
      <c r="M471" t="s">
        <v>61</v>
      </c>
    </row>
    <row r="472" spans="1:13" x14ac:dyDescent="0.2">
      <c r="A472" s="1" t="s">
        <v>228</v>
      </c>
      <c r="C472">
        <v>76</v>
      </c>
      <c r="D472" t="s">
        <v>364</v>
      </c>
      <c r="E472" t="s">
        <v>365</v>
      </c>
      <c r="F472">
        <v>4</v>
      </c>
      <c r="K472" t="s">
        <v>63</v>
      </c>
      <c r="L472">
        <v>52</v>
      </c>
      <c r="M472" t="s">
        <v>61</v>
      </c>
    </row>
    <row r="473" spans="1:13" x14ac:dyDescent="0.2">
      <c r="A473" s="1" t="s">
        <v>228</v>
      </c>
      <c r="C473">
        <v>83</v>
      </c>
      <c r="D473" t="s">
        <v>364</v>
      </c>
      <c r="E473">
        <v>7</v>
      </c>
      <c r="F473">
        <v>4</v>
      </c>
      <c r="K473" t="s">
        <v>63</v>
      </c>
      <c r="L473">
        <v>78</v>
      </c>
      <c r="M473" t="s">
        <v>61</v>
      </c>
    </row>
    <row r="474" spans="1:13" x14ac:dyDescent="0.2">
      <c r="A474" s="1" t="s">
        <v>228</v>
      </c>
      <c r="C474">
        <v>84</v>
      </c>
      <c r="D474" t="s">
        <v>373</v>
      </c>
      <c r="E474" t="s">
        <v>365</v>
      </c>
      <c r="F474">
        <v>52</v>
      </c>
      <c r="K474" t="s">
        <v>63</v>
      </c>
      <c r="L474">
        <v>73.5</v>
      </c>
      <c r="M474" t="s">
        <v>61</v>
      </c>
    </row>
    <row r="475" spans="1:13" x14ac:dyDescent="0.2">
      <c r="A475" s="1" t="s">
        <v>228</v>
      </c>
      <c r="C475">
        <v>75</v>
      </c>
      <c r="D475" t="s">
        <v>364</v>
      </c>
      <c r="E475" t="s">
        <v>365</v>
      </c>
      <c r="F475">
        <v>12</v>
      </c>
      <c r="K475" t="s">
        <v>63</v>
      </c>
      <c r="L475">
        <v>66</v>
      </c>
      <c r="M475" t="s">
        <v>61</v>
      </c>
    </row>
    <row r="476" spans="1:13" x14ac:dyDescent="0.2">
      <c r="A476" s="1" t="s">
        <v>228</v>
      </c>
      <c r="C476">
        <v>83</v>
      </c>
      <c r="D476" t="s">
        <v>60</v>
      </c>
      <c r="E476" t="s">
        <v>365</v>
      </c>
      <c r="F476">
        <v>6</v>
      </c>
      <c r="K476" t="s">
        <v>63</v>
      </c>
      <c r="L476">
        <v>87.5</v>
      </c>
      <c r="M476" t="s">
        <v>61</v>
      </c>
    </row>
    <row r="477" spans="1:13" x14ac:dyDescent="0.2">
      <c r="A477" s="1" t="s">
        <v>228</v>
      </c>
      <c r="C477">
        <v>87</v>
      </c>
      <c r="D477" t="s">
        <v>364</v>
      </c>
      <c r="E477">
        <v>6</v>
      </c>
      <c r="F477">
        <v>8</v>
      </c>
      <c r="K477" t="s">
        <v>60</v>
      </c>
      <c r="L477">
        <v>88</v>
      </c>
      <c r="M477" t="s">
        <v>61</v>
      </c>
    </row>
    <row r="478" spans="1:13" x14ac:dyDescent="0.2">
      <c r="A478" s="1" t="s">
        <v>232</v>
      </c>
      <c r="C478">
        <v>78</v>
      </c>
      <c r="D478" t="s">
        <v>60</v>
      </c>
      <c r="E478" t="s">
        <v>365</v>
      </c>
      <c r="F478">
        <v>12</v>
      </c>
      <c r="K478" t="s">
        <v>63</v>
      </c>
      <c r="L478">
        <v>21</v>
      </c>
      <c r="M478" t="s">
        <v>64</v>
      </c>
    </row>
    <row r="479" spans="1:13" x14ac:dyDescent="0.2">
      <c r="A479" s="1" t="s">
        <v>232</v>
      </c>
      <c r="C479">
        <v>93</v>
      </c>
      <c r="D479" t="s">
        <v>364</v>
      </c>
      <c r="E479">
        <v>1</v>
      </c>
      <c r="F479">
        <v>12</v>
      </c>
      <c r="K479" t="s">
        <v>60</v>
      </c>
      <c r="L479">
        <v>23.5</v>
      </c>
      <c r="M479" t="s">
        <v>64</v>
      </c>
    </row>
    <row r="480" spans="1:13" x14ac:dyDescent="0.2">
      <c r="A480" s="1" t="s">
        <v>232</v>
      </c>
      <c r="C480">
        <v>44</v>
      </c>
      <c r="D480" t="s">
        <v>60</v>
      </c>
      <c r="E480">
        <v>7</v>
      </c>
      <c r="F480">
        <v>6</v>
      </c>
      <c r="K480" t="s">
        <v>60</v>
      </c>
      <c r="L480">
        <v>23.5</v>
      </c>
      <c r="M480" t="s">
        <v>64</v>
      </c>
    </row>
    <row r="481" spans="1:13" x14ac:dyDescent="0.2">
      <c r="A481" s="1" t="s">
        <v>232</v>
      </c>
      <c r="C481">
        <v>51</v>
      </c>
      <c r="D481" t="s">
        <v>364</v>
      </c>
      <c r="E481" t="s">
        <v>365</v>
      </c>
      <c r="F481">
        <v>6</v>
      </c>
      <c r="K481" t="s">
        <v>60</v>
      </c>
      <c r="L481">
        <v>14</v>
      </c>
      <c r="M481" t="s">
        <v>64</v>
      </c>
    </row>
    <row r="482" spans="1:13" x14ac:dyDescent="0.2">
      <c r="A482" s="1" t="s">
        <v>232</v>
      </c>
      <c r="C482">
        <v>55</v>
      </c>
      <c r="D482" t="s">
        <v>364</v>
      </c>
      <c r="E482" t="s">
        <v>365</v>
      </c>
      <c r="F482">
        <v>9</v>
      </c>
      <c r="K482" t="s">
        <v>60</v>
      </c>
      <c r="L482">
        <v>5</v>
      </c>
      <c r="M482" t="s">
        <v>64</v>
      </c>
    </row>
    <row r="483" spans="1:13" x14ac:dyDescent="0.2">
      <c r="A483" s="1" t="s">
        <v>232</v>
      </c>
      <c r="C483">
        <v>55</v>
      </c>
      <c r="D483" t="s">
        <v>364</v>
      </c>
      <c r="E483" t="s">
        <v>365</v>
      </c>
      <c r="F483">
        <v>6</v>
      </c>
      <c r="K483" t="s">
        <v>60</v>
      </c>
      <c r="L483">
        <v>16</v>
      </c>
      <c r="M483" t="s">
        <v>64</v>
      </c>
    </row>
    <row r="484" spans="1:13" x14ac:dyDescent="0.2">
      <c r="A484" s="1" t="s">
        <v>232</v>
      </c>
      <c r="C484">
        <v>54</v>
      </c>
      <c r="D484" t="s">
        <v>364</v>
      </c>
      <c r="E484" t="s">
        <v>365</v>
      </c>
      <c r="F484">
        <v>4</v>
      </c>
      <c r="K484" t="s">
        <v>60</v>
      </c>
      <c r="L484">
        <v>9.5</v>
      </c>
      <c r="M484" t="s">
        <v>64</v>
      </c>
    </row>
    <row r="485" spans="1:13" x14ac:dyDescent="0.2">
      <c r="A485" s="1" t="s">
        <v>232</v>
      </c>
      <c r="C485">
        <v>61</v>
      </c>
      <c r="D485" t="s">
        <v>364</v>
      </c>
      <c r="E485" t="s">
        <v>365</v>
      </c>
      <c r="F485">
        <v>12</v>
      </c>
      <c r="K485" t="s">
        <v>60</v>
      </c>
      <c r="L485">
        <v>20</v>
      </c>
      <c r="M485" t="s">
        <v>64</v>
      </c>
    </row>
    <row r="486" spans="1:13" x14ac:dyDescent="0.2">
      <c r="A486" s="1" t="s">
        <v>232</v>
      </c>
      <c r="C486">
        <v>71</v>
      </c>
      <c r="D486" t="s">
        <v>364</v>
      </c>
      <c r="E486">
        <v>2</v>
      </c>
      <c r="F486">
        <v>18</v>
      </c>
      <c r="K486" t="s">
        <v>60</v>
      </c>
      <c r="L486">
        <v>6.5</v>
      </c>
      <c r="M486" t="s">
        <v>61</v>
      </c>
    </row>
    <row r="487" spans="1:13" x14ac:dyDescent="0.2">
      <c r="A487" s="1" t="s">
        <v>232</v>
      </c>
      <c r="C487">
        <v>75</v>
      </c>
      <c r="D487" t="s">
        <v>60</v>
      </c>
      <c r="E487">
        <v>7</v>
      </c>
      <c r="F487">
        <v>4</v>
      </c>
      <c r="K487" t="s">
        <v>60</v>
      </c>
      <c r="L487">
        <v>3.5</v>
      </c>
      <c r="M487" t="s">
        <v>61</v>
      </c>
    </row>
    <row r="488" spans="1:13" x14ac:dyDescent="0.2">
      <c r="A488" s="1" t="s">
        <v>232</v>
      </c>
      <c r="C488">
        <v>69</v>
      </c>
      <c r="D488" t="s">
        <v>60</v>
      </c>
      <c r="E488" t="s">
        <v>365</v>
      </c>
      <c r="F488">
        <v>6</v>
      </c>
      <c r="K488" t="s">
        <v>60</v>
      </c>
      <c r="L488">
        <v>25</v>
      </c>
      <c r="M488" t="s">
        <v>64</v>
      </c>
    </row>
    <row r="489" spans="1:13" x14ac:dyDescent="0.2">
      <c r="A489" s="1" t="s">
        <v>232</v>
      </c>
      <c r="C489">
        <v>69</v>
      </c>
      <c r="D489" t="s">
        <v>364</v>
      </c>
      <c r="E489" t="s">
        <v>365</v>
      </c>
      <c r="F489">
        <v>8</v>
      </c>
      <c r="K489" t="s">
        <v>60</v>
      </c>
      <c r="L489">
        <v>5.5</v>
      </c>
      <c r="M489" t="s">
        <v>64</v>
      </c>
    </row>
    <row r="490" spans="1:13" x14ac:dyDescent="0.2">
      <c r="A490" s="1" t="s">
        <v>232</v>
      </c>
      <c r="C490">
        <v>70</v>
      </c>
      <c r="D490" t="s">
        <v>370</v>
      </c>
      <c r="E490">
        <v>6</v>
      </c>
      <c r="F490">
        <v>5</v>
      </c>
      <c r="K490" t="s">
        <v>60</v>
      </c>
      <c r="L490">
        <v>0.5</v>
      </c>
      <c r="M490" t="s">
        <v>61</v>
      </c>
    </row>
    <row r="491" spans="1:13" x14ac:dyDescent="0.2">
      <c r="A491" s="1" t="s">
        <v>236</v>
      </c>
      <c r="C491">
        <v>66</v>
      </c>
      <c r="D491" t="s">
        <v>364</v>
      </c>
      <c r="E491" t="s">
        <v>365</v>
      </c>
      <c r="F491">
        <v>7</v>
      </c>
      <c r="K491" t="s">
        <v>63</v>
      </c>
      <c r="L491">
        <v>85</v>
      </c>
      <c r="M491" t="s">
        <v>61</v>
      </c>
    </row>
    <row r="492" spans="1:13" x14ac:dyDescent="0.2">
      <c r="A492" s="1" t="s">
        <v>236</v>
      </c>
      <c r="C492">
        <v>36</v>
      </c>
      <c r="D492" t="s">
        <v>60</v>
      </c>
      <c r="E492" t="s">
        <v>365</v>
      </c>
      <c r="F492">
        <v>6</v>
      </c>
      <c r="K492" t="s">
        <v>60</v>
      </c>
      <c r="L492">
        <v>41</v>
      </c>
      <c r="M492" t="s">
        <v>64</v>
      </c>
    </row>
    <row r="493" spans="1:13" x14ac:dyDescent="0.2">
      <c r="A493" s="1" t="s">
        <v>236</v>
      </c>
      <c r="C493">
        <v>40</v>
      </c>
      <c r="D493" t="s">
        <v>364</v>
      </c>
      <c r="E493">
        <v>3</v>
      </c>
      <c r="F493">
        <v>7</v>
      </c>
      <c r="K493" t="s">
        <v>60</v>
      </c>
      <c r="L493">
        <v>41</v>
      </c>
      <c r="M493" t="s">
        <v>64</v>
      </c>
    </row>
    <row r="494" spans="1:13" x14ac:dyDescent="0.2">
      <c r="A494" s="1" t="s">
        <v>236</v>
      </c>
      <c r="C494">
        <v>95</v>
      </c>
      <c r="D494" t="s">
        <v>364</v>
      </c>
      <c r="E494" t="s">
        <v>365</v>
      </c>
      <c r="F494">
        <v>12</v>
      </c>
      <c r="K494" t="s">
        <v>63</v>
      </c>
      <c r="L494">
        <v>89</v>
      </c>
      <c r="M494" t="s">
        <v>64</v>
      </c>
    </row>
    <row r="495" spans="1:13" x14ac:dyDescent="0.2">
      <c r="A495" s="1" t="s">
        <v>236</v>
      </c>
      <c r="C495">
        <v>45</v>
      </c>
      <c r="D495" t="s">
        <v>364</v>
      </c>
      <c r="E495">
        <v>7</v>
      </c>
      <c r="F495">
        <v>14</v>
      </c>
      <c r="K495" t="s">
        <v>63</v>
      </c>
      <c r="L495">
        <v>42.5</v>
      </c>
      <c r="M495" t="s">
        <v>64</v>
      </c>
    </row>
    <row r="496" spans="1:13" x14ac:dyDescent="0.2">
      <c r="A496" s="1" t="s">
        <v>236</v>
      </c>
      <c r="C496">
        <v>54</v>
      </c>
      <c r="D496" t="s">
        <v>60</v>
      </c>
      <c r="E496">
        <v>4</v>
      </c>
      <c r="F496">
        <v>10</v>
      </c>
      <c r="K496" t="s">
        <v>63</v>
      </c>
      <c r="L496">
        <v>51</v>
      </c>
      <c r="M496" t="s">
        <v>64</v>
      </c>
    </row>
    <row r="497" spans="1:13" x14ac:dyDescent="0.2">
      <c r="A497" s="1" t="s">
        <v>236</v>
      </c>
      <c r="C497">
        <v>59</v>
      </c>
      <c r="D497" t="s">
        <v>60</v>
      </c>
      <c r="E497" t="s">
        <v>365</v>
      </c>
      <c r="F497">
        <v>5</v>
      </c>
      <c r="K497" t="s">
        <v>63</v>
      </c>
      <c r="L497">
        <v>51</v>
      </c>
      <c r="M497" t="s">
        <v>64</v>
      </c>
    </row>
    <row r="498" spans="1:13" x14ac:dyDescent="0.2">
      <c r="A498" s="1" t="s">
        <v>239</v>
      </c>
      <c r="C498">
        <v>86</v>
      </c>
      <c r="D498" t="s">
        <v>60</v>
      </c>
      <c r="E498" t="s">
        <v>365</v>
      </c>
      <c r="F498">
        <v>8</v>
      </c>
      <c r="K498" t="s">
        <v>63</v>
      </c>
      <c r="L498">
        <v>0</v>
      </c>
      <c r="M498" t="s">
        <v>64</v>
      </c>
    </row>
    <row r="499" spans="1:13" x14ac:dyDescent="0.2">
      <c r="A499" s="1" t="s">
        <v>239</v>
      </c>
      <c r="C499">
        <v>68</v>
      </c>
      <c r="D499" t="s">
        <v>364</v>
      </c>
      <c r="E499">
        <v>2</v>
      </c>
      <c r="F499">
        <v>8</v>
      </c>
      <c r="K499" t="s">
        <v>63</v>
      </c>
      <c r="L499">
        <v>12</v>
      </c>
      <c r="M499" t="s">
        <v>64</v>
      </c>
    </row>
    <row r="500" spans="1:13" x14ac:dyDescent="0.2">
      <c r="A500" s="1" t="s">
        <v>239</v>
      </c>
      <c r="C500">
        <v>40</v>
      </c>
      <c r="D500" t="s">
        <v>364</v>
      </c>
      <c r="E500">
        <v>1</v>
      </c>
      <c r="F500">
        <v>10</v>
      </c>
      <c r="K500" t="s">
        <v>63</v>
      </c>
      <c r="L500">
        <v>24.5</v>
      </c>
      <c r="M500" t="s">
        <v>64</v>
      </c>
    </row>
    <row r="501" spans="1:13" x14ac:dyDescent="0.2">
      <c r="A501" s="1" t="s">
        <v>239</v>
      </c>
      <c r="C501">
        <v>43</v>
      </c>
      <c r="D501" t="s">
        <v>60</v>
      </c>
      <c r="E501" t="s">
        <v>365</v>
      </c>
      <c r="F501">
        <v>6</v>
      </c>
      <c r="K501" t="s">
        <v>63</v>
      </c>
      <c r="L501">
        <v>47</v>
      </c>
      <c r="M501" t="s">
        <v>64</v>
      </c>
    </row>
    <row r="502" spans="1:13" x14ac:dyDescent="0.2">
      <c r="A502" s="1" t="s">
        <v>239</v>
      </c>
      <c r="C502">
        <v>57</v>
      </c>
      <c r="D502" t="s">
        <v>364</v>
      </c>
      <c r="E502">
        <v>5</v>
      </c>
      <c r="F502">
        <v>10</v>
      </c>
      <c r="K502" t="s">
        <v>60</v>
      </c>
      <c r="L502">
        <v>2.5</v>
      </c>
      <c r="M502" t="s">
        <v>61</v>
      </c>
    </row>
    <row r="503" spans="1:13" x14ac:dyDescent="0.2">
      <c r="A503" s="1" t="s">
        <v>239</v>
      </c>
      <c r="C503">
        <v>57</v>
      </c>
      <c r="D503" t="s">
        <v>364</v>
      </c>
      <c r="E503">
        <v>5</v>
      </c>
      <c r="F503">
        <v>4</v>
      </c>
      <c r="K503" t="s">
        <v>60</v>
      </c>
      <c r="L503">
        <v>2.5</v>
      </c>
      <c r="M503" t="s">
        <v>61</v>
      </c>
    </row>
    <row r="504" spans="1:13" x14ac:dyDescent="0.2">
      <c r="A504" s="1" t="s">
        <v>239</v>
      </c>
      <c r="C504">
        <v>75</v>
      </c>
      <c r="D504" t="s">
        <v>364</v>
      </c>
      <c r="E504">
        <v>5</v>
      </c>
      <c r="F504">
        <v>3</v>
      </c>
      <c r="K504" t="s">
        <v>60</v>
      </c>
      <c r="L504">
        <v>5</v>
      </c>
      <c r="M504" t="s">
        <v>64</v>
      </c>
    </row>
    <row r="505" spans="1:13" x14ac:dyDescent="0.2">
      <c r="A505" s="1" t="s">
        <v>239</v>
      </c>
      <c r="C505">
        <v>69</v>
      </c>
      <c r="D505" t="s">
        <v>364</v>
      </c>
      <c r="E505" t="s">
        <v>365</v>
      </c>
      <c r="F505">
        <v>4</v>
      </c>
      <c r="K505" t="s">
        <v>60</v>
      </c>
      <c r="L505">
        <v>14</v>
      </c>
      <c r="M505" t="s">
        <v>61</v>
      </c>
    </row>
    <row r="506" spans="1:13" x14ac:dyDescent="0.2">
      <c r="A506" s="1" t="s">
        <v>239</v>
      </c>
      <c r="C506">
        <v>69</v>
      </c>
      <c r="D506" t="s">
        <v>364</v>
      </c>
      <c r="E506" t="s">
        <v>365</v>
      </c>
      <c r="F506">
        <v>4</v>
      </c>
      <c r="K506" t="s">
        <v>60</v>
      </c>
      <c r="L506">
        <v>16.5</v>
      </c>
      <c r="M506" t="s">
        <v>61</v>
      </c>
    </row>
    <row r="507" spans="1:13" x14ac:dyDescent="0.2">
      <c r="A507" s="1" t="s">
        <v>239</v>
      </c>
      <c r="B507" s="2"/>
      <c r="C507">
        <v>54</v>
      </c>
      <c r="D507" t="s">
        <v>364</v>
      </c>
      <c r="E507" t="s">
        <v>365</v>
      </c>
      <c r="F507">
        <v>6</v>
      </c>
      <c r="K507" t="s">
        <v>60</v>
      </c>
      <c r="L507">
        <v>26</v>
      </c>
      <c r="M507" t="s">
        <v>61</v>
      </c>
    </row>
    <row r="508" spans="1:13" x14ac:dyDescent="0.2">
      <c r="A508" s="1" t="s">
        <v>239</v>
      </c>
      <c r="C508">
        <v>63</v>
      </c>
      <c r="D508" t="s">
        <v>364</v>
      </c>
      <c r="E508" t="s">
        <v>365</v>
      </c>
      <c r="F508">
        <v>14</v>
      </c>
      <c r="K508" t="s">
        <v>60</v>
      </c>
      <c r="L508">
        <v>14</v>
      </c>
      <c r="M508" t="s">
        <v>61</v>
      </c>
    </row>
    <row r="509" spans="1:13" x14ac:dyDescent="0.2">
      <c r="A509" s="1" t="s">
        <v>239</v>
      </c>
      <c r="C509">
        <v>32</v>
      </c>
      <c r="D509" t="s">
        <v>364</v>
      </c>
      <c r="E509">
        <v>6</v>
      </c>
      <c r="F509">
        <v>8</v>
      </c>
      <c r="K509" t="s">
        <v>60</v>
      </c>
      <c r="L509">
        <v>46.5</v>
      </c>
      <c r="M509" t="s">
        <v>61</v>
      </c>
    </row>
    <row r="510" spans="1:13" x14ac:dyDescent="0.2">
      <c r="A510" s="1" t="s">
        <v>239</v>
      </c>
      <c r="C510">
        <v>74</v>
      </c>
      <c r="D510" t="s">
        <v>364</v>
      </c>
      <c r="E510" t="s">
        <v>365</v>
      </c>
      <c r="F510">
        <v>6</v>
      </c>
      <c r="K510" t="s">
        <v>63</v>
      </c>
      <c r="L510">
        <v>64</v>
      </c>
      <c r="M510" t="s">
        <v>61</v>
      </c>
    </row>
    <row r="511" spans="1:13" x14ac:dyDescent="0.2">
      <c r="A511" s="1" t="s">
        <v>239</v>
      </c>
      <c r="C511">
        <v>78</v>
      </c>
      <c r="D511" t="s">
        <v>364</v>
      </c>
      <c r="E511" t="s">
        <v>365</v>
      </c>
      <c r="F511">
        <v>8</v>
      </c>
      <c r="K511" t="s">
        <v>63</v>
      </c>
      <c r="L511">
        <v>64</v>
      </c>
      <c r="M511" t="s">
        <v>61</v>
      </c>
    </row>
    <row r="512" spans="1:13" x14ac:dyDescent="0.2">
      <c r="A512" s="1" t="s">
        <v>239</v>
      </c>
      <c r="C512">
        <v>80</v>
      </c>
      <c r="D512" t="s">
        <v>364</v>
      </c>
      <c r="E512" t="s">
        <v>365</v>
      </c>
      <c r="F512">
        <v>6</v>
      </c>
      <c r="K512" t="s">
        <v>63</v>
      </c>
      <c r="L512">
        <v>64</v>
      </c>
      <c r="M512" t="s">
        <v>61</v>
      </c>
    </row>
    <row r="513" spans="1:13" x14ac:dyDescent="0.2">
      <c r="A513" s="1" t="s">
        <v>239</v>
      </c>
      <c r="C513">
        <v>78</v>
      </c>
      <c r="D513" t="s">
        <v>364</v>
      </c>
      <c r="E513">
        <v>5</v>
      </c>
      <c r="F513">
        <v>8</v>
      </c>
      <c r="K513" t="s">
        <v>63</v>
      </c>
      <c r="L513">
        <v>61</v>
      </c>
      <c r="M513" t="s">
        <v>61</v>
      </c>
    </row>
    <row r="514" spans="1:13" x14ac:dyDescent="0.2">
      <c r="A514" s="1" t="s">
        <v>242</v>
      </c>
      <c r="B514">
        <v>172</v>
      </c>
      <c r="C514">
        <v>52</v>
      </c>
      <c r="D514" t="s">
        <v>364</v>
      </c>
      <c r="E514">
        <v>10</v>
      </c>
      <c r="F514">
        <v>10</v>
      </c>
    </row>
    <row r="515" spans="1:13" x14ac:dyDescent="0.2">
      <c r="A515" s="1" t="s">
        <v>242</v>
      </c>
      <c r="B515">
        <v>209</v>
      </c>
      <c r="C515">
        <v>18</v>
      </c>
      <c r="D515" t="s">
        <v>364</v>
      </c>
      <c r="E515">
        <v>5</v>
      </c>
      <c r="F515">
        <v>6</v>
      </c>
    </row>
    <row r="516" spans="1:13" x14ac:dyDescent="0.2">
      <c r="A516" s="1" t="s">
        <v>242</v>
      </c>
      <c r="B516">
        <v>207</v>
      </c>
      <c r="C516">
        <v>25</v>
      </c>
      <c r="D516" t="s">
        <v>386</v>
      </c>
      <c r="E516">
        <v>2</v>
      </c>
      <c r="F516">
        <v>12</v>
      </c>
    </row>
    <row r="517" spans="1:13" x14ac:dyDescent="0.2">
      <c r="A517" s="1" t="s">
        <v>242</v>
      </c>
      <c r="B517">
        <v>226</v>
      </c>
      <c r="C517">
        <v>13</v>
      </c>
      <c r="D517" t="s">
        <v>364</v>
      </c>
      <c r="E517" t="s">
        <v>365</v>
      </c>
      <c r="F517">
        <v>9</v>
      </c>
    </row>
    <row r="518" spans="1:13" x14ac:dyDescent="0.2">
      <c r="A518" s="1" t="s">
        <v>242</v>
      </c>
      <c r="B518">
        <v>258</v>
      </c>
      <c r="C518">
        <v>14</v>
      </c>
      <c r="D518" t="s">
        <v>364</v>
      </c>
      <c r="E518" t="s">
        <v>365</v>
      </c>
      <c r="F518">
        <v>9</v>
      </c>
    </row>
    <row r="519" spans="1:13" x14ac:dyDescent="0.2">
      <c r="A519" s="1" t="s">
        <v>246</v>
      </c>
      <c r="B519">
        <v>256</v>
      </c>
      <c r="C519">
        <v>33</v>
      </c>
      <c r="D519" t="s">
        <v>370</v>
      </c>
      <c r="E519">
        <v>2</v>
      </c>
      <c r="F519">
        <v>8</v>
      </c>
    </row>
    <row r="520" spans="1:13" x14ac:dyDescent="0.2">
      <c r="A520" s="1" t="s">
        <v>246</v>
      </c>
      <c r="B520">
        <v>265</v>
      </c>
      <c r="C520">
        <v>63</v>
      </c>
      <c r="D520" t="s">
        <v>364</v>
      </c>
      <c r="E520" t="s">
        <v>365</v>
      </c>
      <c r="F520">
        <v>2</v>
      </c>
    </row>
    <row r="521" spans="1:13" x14ac:dyDescent="0.2">
      <c r="A521" s="1" t="s">
        <v>246</v>
      </c>
      <c r="B521">
        <v>271</v>
      </c>
      <c r="C521">
        <v>77</v>
      </c>
      <c r="D521" t="s">
        <v>60</v>
      </c>
      <c r="E521">
        <v>10</v>
      </c>
      <c r="F521">
        <v>8</v>
      </c>
    </row>
    <row r="522" spans="1:13" x14ac:dyDescent="0.2">
      <c r="A522" s="1" t="s">
        <v>246</v>
      </c>
      <c r="B522">
        <v>271</v>
      </c>
      <c r="C522">
        <v>72</v>
      </c>
      <c r="D522" t="s">
        <v>364</v>
      </c>
      <c r="E522">
        <v>8</v>
      </c>
      <c r="F522">
        <v>6</v>
      </c>
    </row>
    <row r="523" spans="1:13" x14ac:dyDescent="0.2">
      <c r="A523" s="1" t="s">
        <v>246</v>
      </c>
      <c r="B523">
        <v>279</v>
      </c>
      <c r="C523">
        <v>70</v>
      </c>
      <c r="D523" t="s">
        <v>60</v>
      </c>
      <c r="E523" t="s">
        <v>365</v>
      </c>
      <c r="F523">
        <v>3</v>
      </c>
    </row>
    <row r="524" spans="1:13" x14ac:dyDescent="0.2">
      <c r="A524" s="1" t="s">
        <v>246</v>
      </c>
      <c r="B524">
        <v>281</v>
      </c>
      <c r="C524">
        <v>70</v>
      </c>
      <c r="D524" t="s">
        <v>60</v>
      </c>
      <c r="E524" t="s">
        <v>365</v>
      </c>
      <c r="F524">
        <v>4</v>
      </c>
    </row>
    <row r="525" spans="1:13" x14ac:dyDescent="0.2">
      <c r="A525" s="1" t="s">
        <v>246</v>
      </c>
      <c r="B525">
        <v>349</v>
      </c>
      <c r="C525">
        <v>45</v>
      </c>
      <c r="D525" t="s">
        <v>404</v>
      </c>
      <c r="G525" t="s">
        <v>405</v>
      </c>
      <c r="H525" s="4"/>
    </row>
    <row r="526" spans="1:13" x14ac:dyDescent="0.2">
      <c r="A526" s="1" t="s">
        <v>250</v>
      </c>
      <c r="B526">
        <v>166</v>
      </c>
      <c r="C526">
        <v>24</v>
      </c>
      <c r="D526" t="s">
        <v>60</v>
      </c>
      <c r="E526" t="s">
        <v>365</v>
      </c>
      <c r="F526">
        <v>8</v>
      </c>
    </row>
    <row r="527" spans="1:13" x14ac:dyDescent="0.2">
      <c r="A527" s="1" t="s">
        <v>250</v>
      </c>
      <c r="B527">
        <v>175</v>
      </c>
      <c r="C527">
        <v>38</v>
      </c>
      <c r="D527" t="s">
        <v>370</v>
      </c>
      <c r="E527">
        <v>3</v>
      </c>
      <c r="F527">
        <v>12</v>
      </c>
    </row>
    <row r="528" spans="1:13" x14ac:dyDescent="0.2">
      <c r="A528" s="1" t="s">
        <v>250</v>
      </c>
      <c r="B528">
        <v>175</v>
      </c>
      <c r="C528">
        <v>45</v>
      </c>
      <c r="D528" t="s">
        <v>364</v>
      </c>
      <c r="E528">
        <v>2</v>
      </c>
      <c r="F528">
        <v>8</v>
      </c>
    </row>
    <row r="529" spans="1:6" x14ac:dyDescent="0.2">
      <c r="A529" s="1" t="s">
        <v>250</v>
      </c>
      <c r="B529">
        <v>66</v>
      </c>
      <c r="C529">
        <v>20</v>
      </c>
      <c r="D529" t="s">
        <v>364</v>
      </c>
      <c r="E529">
        <v>3</v>
      </c>
      <c r="F529">
        <v>5</v>
      </c>
    </row>
    <row r="530" spans="1:6" x14ac:dyDescent="0.2">
      <c r="A530" s="1" t="s">
        <v>250</v>
      </c>
      <c r="B530">
        <v>179</v>
      </c>
      <c r="C530">
        <v>45</v>
      </c>
      <c r="D530" t="s">
        <v>364</v>
      </c>
      <c r="E530">
        <v>2</v>
      </c>
      <c r="F530">
        <v>6</v>
      </c>
    </row>
    <row r="531" spans="1:6" x14ac:dyDescent="0.2">
      <c r="A531" s="1" t="s">
        <v>250</v>
      </c>
      <c r="B531">
        <v>161</v>
      </c>
      <c r="C531">
        <v>45</v>
      </c>
      <c r="D531" t="s">
        <v>364</v>
      </c>
      <c r="E531">
        <v>1</v>
      </c>
      <c r="F531">
        <v>6</v>
      </c>
    </row>
    <row r="532" spans="1:6" x14ac:dyDescent="0.2">
      <c r="A532" s="1" t="s">
        <v>250</v>
      </c>
      <c r="B532">
        <v>169</v>
      </c>
      <c r="C532">
        <v>35</v>
      </c>
      <c r="D532" t="s">
        <v>364</v>
      </c>
      <c r="E532" t="s">
        <v>365</v>
      </c>
      <c r="F532">
        <v>6</v>
      </c>
    </row>
    <row r="533" spans="1:6" x14ac:dyDescent="0.2">
      <c r="A533" s="1" t="s">
        <v>250</v>
      </c>
      <c r="B533">
        <v>167</v>
      </c>
      <c r="C533">
        <v>42</v>
      </c>
      <c r="D533" t="s">
        <v>364</v>
      </c>
      <c r="E533">
        <v>4</v>
      </c>
      <c r="F533">
        <v>5</v>
      </c>
    </row>
    <row r="534" spans="1:6" x14ac:dyDescent="0.2">
      <c r="A534" s="1" t="s">
        <v>250</v>
      </c>
      <c r="B534">
        <v>131</v>
      </c>
      <c r="C534">
        <v>39</v>
      </c>
      <c r="D534" t="s">
        <v>364</v>
      </c>
      <c r="E534">
        <v>8</v>
      </c>
      <c r="F534">
        <v>8</v>
      </c>
    </row>
    <row r="535" spans="1:6" x14ac:dyDescent="0.2">
      <c r="A535" s="1" t="s">
        <v>250</v>
      </c>
      <c r="B535">
        <v>94</v>
      </c>
      <c r="C535">
        <v>2</v>
      </c>
      <c r="D535" t="s">
        <v>364</v>
      </c>
      <c r="E535">
        <v>3</v>
      </c>
      <c r="F535">
        <v>15</v>
      </c>
    </row>
    <row r="536" spans="1:6" x14ac:dyDescent="0.2">
      <c r="A536" s="1" t="s">
        <v>250</v>
      </c>
      <c r="B536">
        <v>125</v>
      </c>
      <c r="C536">
        <v>41</v>
      </c>
      <c r="D536" t="s">
        <v>364</v>
      </c>
      <c r="E536">
        <v>10</v>
      </c>
      <c r="F536">
        <v>9</v>
      </c>
    </row>
    <row r="537" spans="1:6" x14ac:dyDescent="0.2">
      <c r="A537" s="1" t="s">
        <v>250</v>
      </c>
      <c r="B537">
        <v>111</v>
      </c>
      <c r="C537">
        <v>16</v>
      </c>
      <c r="D537" t="s">
        <v>60</v>
      </c>
      <c r="E537" t="s">
        <v>365</v>
      </c>
      <c r="F537">
        <v>6</v>
      </c>
    </row>
    <row r="538" spans="1:6" x14ac:dyDescent="0.2">
      <c r="A538" s="1" t="s">
        <v>250</v>
      </c>
      <c r="B538">
        <v>205</v>
      </c>
      <c r="C538">
        <v>10</v>
      </c>
      <c r="D538" t="s">
        <v>370</v>
      </c>
      <c r="E538">
        <v>10</v>
      </c>
      <c r="F538">
        <v>8</v>
      </c>
    </row>
    <row r="539" spans="1:6" x14ac:dyDescent="0.2">
      <c r="A539" s="1" t="s">
        <v>250</v>
      </c>
      <c r="B539">
        <v>378</v>
      </c>
      <c r="C539">
        <v>19</v>
      </c>
      <c r="D539" t="s">
        <v>370</v>
      </c>
      <c r="E539">
        <v>3</v>
      </c>
      <c r="F539">
        <v>8</v>
      </c>
    </row>
    <row r="540" spans="1:6" x14ac:dyDescent="0.2">
      <c r="A540" s="1" t="s">
        <v>250</v>
      </c>
      <c r="B540">
        <v>248</v>
      </c>
      <c r="C540">
        <v>31</v>
      </c>
      <c r="D540" t="s">
        <v>364</v>
      </c>
      <c r="E540">
        <v>10</v>
      </c>
      <c r="F540">
        <v>10</v>
      </c>
    </row>
    <row r="541" spans="1:6" x14ac:dyDescent="0.2">
      <c r="A541" s="1" t="s">
        <v>250</v>
      </c>
      <c r="B541">
        <v>248</v>
      </c>
      <c r="C541">
        <v>28</v>
      </c>
      <c r="D541" t="s">
        <v>364</v>
      </c>
      <c r="E541">
        <v>10</v>
      </c>
      <c r="F541">
        <v>3</v>
      </c>
    </row>
    <row r="542" spans="1:6" x14ac:dyDescent="0.2">
      <c r="A542" s="1" t="s">
        <v>250</v>
      </c>
      <c r="B542">
        <v>296</v>
      </c>
      <c r="C542">
        <v>23</v>
      </c>
      <c r="D542" t="s">
        <v>364</v>
      </c>
      <c r="E542" t="s">
        <v>365</v>
      </c>
      <c r="F542">
        <v>7</v>
      </c>
    </row>
    <row r="543" spans="1:6" x14ac:dyDescent="0.2">
      <c r="A543" s="1" t="s">
        <v>260</v>
      </c>
      <c r="B543">
        <v>326</v>
      </c>
      <c r="C543">
        <v>5</v>
      </c>
      <c r="D543" t="s">
        <v>364</v>
      </c>
      <c r="E543">
        <v>6</v>
      </c>
      <c r="F543">
        <v>10</v>
      </c>
    </row>
    <row r="544" spans="1:6" x14ac:dyDescent="0.2">
      <c r="A544" s="1" t="s">
        <v>260</v>
      </c>
      <c r="B544">
        <v>325</v>
      </c>
      <c r="C544">
        <v>36</v>
      </c>
      <c r="D544" t="s">
        <v>364</v>
      </c>
      <c r="E544">
        <v>7</v>
      </c>
      <c r="F544">
        <v>12</v>
      </c>
    </row>
    <row r="545" spans="1:6" x14ac:dyDescent="0.2">
      <c r="A545" s="1" t="s">
        <v>260</v>
      </c>
      <c r="B545">
        <v>309</v>
      </c>
      <c r="C545">
        <v>32</v>
      </c>
      <c r="D545" t="s">
        <v>60</v>
      </c>
      <c r="E545">
        <v>4</v>
      </c>
      <c r="F545">
        <v>4</v>
      </c>
    </row>
    <row r="546" spans="1:6" x14ac:dyDescent="0.2">
      <c r="A546" s="1" t="s">
        <v>260</v>
      </c>
      <c r="B546">
        <v>305</v>
      </c>
      <c r="C546">
        <v>54</v>
      </c>
      <c r="D546" t="s">
        <v>364</v>
      </c>
      <c r="E546" t="s">
        <v>365</v>
      </c>
      <c r="F546">
        <v>14</v>
      </c>
    </row>
    <row r="547" spans="1:6" x14ac:dyDescent="0.2">
      <c r="A547" s="1" t="s">
        <v>264</v>
      </c>
      <c r="B547">
        <v>283</v>
      </c>
      <c r="C547">
        <v>35</v>
      </c>
      <c r="D547" t="s">
        <v>60</v>
      </c>
      <c r="E547">
        <v>2</v>
      </c>
      <c r="F547">
        <v>6</v>
      </c>
    </row>
    <row r="548" spans="1:6" x14ac:dyDescent="0.2">
      <c r="A548" s="1" t="s">
        <v>264</v>
      </c>
      <c r="B548">
        <v>286</v>
      </c>
      <c r="C548">
        <v>49</v>
      </c>
      <c r="D548" t="s">
        <v>364</v>
      </c>
      <c r="E548" t="s">
        <v>365</v>
      </c>
      <c r="F548">
        <v>10</v>
      </c>
    </row>
    <row r="549" spans="1:6" x14ac:dyDescent="0.2">
      <c r="A549" s="1" t="s">
        <v>264</v>
      </c>
      <c r="B549">
        <v>292</v>
      </c>
      <c r="C549">
        <v>61</v>
      </c>
      <c r="D549" t="s">
        <v>60</v>
      </c>
      <c r="E549">
        <v>3</v>
      </c>
      <c r="F549">
        <v>6</v>
      </c>
    </row>
    <row r="550" spans="1:6" x14ac:dyDescent="0.2">
      <c r="A550" s="1" t="s">
        <v>264</v>
      </c>
      <c r="B550">
        <v>292</v>
      </c>
      <c r="C550">
        <v>63</v>
      </c>
      <c r="D550" t="s">
        <v>364</v>
      </c>
      <c r="E550">
        <v>3</v>
      </c>
      <c r="F550">
        <v>7</v>
      </c>
    </row>
    <row r="551" spans="1:6" x14ac:dyDescent="0.2">
      <c r="A551" s="1" t="s">
        <v>264</v>
      </c>
      <c r="B551">
        <v>300</v>
      </c>
      <c r="C551">
        <v>68</v>
      </c>
      <c r="D551" t="s">
        <v>364</v>
      </c>
      <c r="E551">
        <v>4</v>
      </c>
      <c r="F551">
        <v>10</v>
      </c>
    </row>
    <row r="552" spans="1:6" x14ac:dyDescent="0.2">
      <c r="A552" s="1" t="s">
        <v>264</v>
      </c>
      <c r="B552">
        <v>305</v>
      </c>
      <c r="C552">
        <v>63</v>
      </c>
      <c r="D552" t="s">
        <v>364</v>
      </c>
      <c r="E552" t="s">
        <v>365</v>
      </c>
      <c r="F552">
        <v>8</v>
      </c>
    </row>
    <row r="553" spans="1:6" x14ac:dyDescent="0.2">
      <c r="A553" s="1" t="s">
        <v>264</v>
      </c>
      <c r="B553">
        <v>305</v>
      </c>
      <c r="C553">
        <v>54</v>
      </c>
      <c r="D553" t="s">
        <v>60</v>
      </c>
      <c r="E553" t="s">
        <v>365</v>
      </c>
      <c r="F553">
        <v>6</v>
      </c>
    </row>
    <row r="554" spans="1:6" x14ac:dyDescent="0.2">
      <c r="A554" s="1" t="s">
        <v>264</v>
      </c>
      <c r="B554">
        <v>309</v>
      </c>
      <c r="C554">
        <v>68</v>
      </c>
      <c r="D554" t="s">
        <v>373</v>
      </c>
      <c r="E554" t="s">
        <v>365</v>
      </c>
    </row>
    <row r="555" spans="1:6" x14ac:dyDescent="0.2">
      <c r="A555" s="1" t="s">
        <v>264</v>
      </c>
      <c r="B555">
        <v>300</v>
      </c>
      <c r="C555">
        <v>53</v>
      </c>
      <c r="D555" t="s">
        <v>364</v>
      </c>
      <c r="E555" t="s">
        <v>365</v>
      </c>
      <c r="F555">
        <v>4</v>
      </c>
    </row>
    <row r="556" spans="1:6" x14ac:dyDescent="0.2">
      <c r="A556" s="1" t="s">
        <v>264</v>
      </c>
      <c r="B556">
        <v>315</v>
      </c>
      <c r="C556">
        <v>57</v>
      </c>
      <c r="D556" t="s">
        <v>364</v>
      </c>
      <c r="E556" t="s">
        <v>365</v>
      </c>
      <c r="F556">
        <v>10</v>
      </c>
    </row>
    <row r="557" spans="1:6" x14ac:dyDescent="0.2">
      <c r="A557" s="1" t="s">
        <v>264</v>
      </c>
      <c r="B557">
        <v>18</v>
      </c>
      <c r="C557">
        <v>36</v>
      </c>
      <c r="D557" t="s">
        <v>364</v>
      </c>
      <c r="E557" t="s">
        <v>365</v>
      </c>
      <c r="F557">
        <v>9</v>
      </c>
    </row>
    <row r="558" spans="1:6" x14ac:dyDescent="0.2">
      <c r="A558" s="1" t="s">
        <v>264</v>
      </c>
      <c r="B558">
        <v>18</v>
      </c>
      <c r="C558">
        <v>36</v>
      </c>
      <c r="D558" t="s">
        <v>364</v>
      </c>
      <c r="E558" t="s">
        <v>365</v>
      </c>
      <c r="F558">
        <v>6</v>
      </c>
    </row>
    <row r="559" spans="1:6" x14ac:dyDescent="0.2">
      <c r="A559" s="1" t="s">
        <v>264</v>
      </c>
      <c r="B559">
        <v>37</v>
      </c>
      <c r="C559">
        <v>57</v>
      </c>
      <c r="D559" t="s">
        <v>364</v>
      </c>
      <c r="E559">
        <v>8</v>
      </c>
      <c r="F559">
        <v>6</v>
      </c>
    </row>
    <row r="560" spans="1:6" x14ac:dyDescent="0.2">
      <c r="A560" s="1" t="s">
        <v>264</v>
      </c>
      <c r="B560">
        <v>69</v>
      </c>
      <c r="C560">
        <v>53</v>
      </c>
      <c r="D560" t="s">
        <v>364</v>
      </c>
      <c r="E560" t="s">
        <v>365</v>
      </c>
      <c r="F560">
        <v>6</v>
      </c>
    </row>
    <row r="561" spans="1:6" x14ac:dyDescent="0.2">
      <c r="A561" s="1" t="s">
        <v>268</v>
      </c>
      <c r="B561">
        <v>160</v>
      </c>
      <c r="C561">
        <v>53</v>
      </c>
      <c r="D561" t="s">
        <v>60</v>
      </c>
      <c r="E561">
        <v>4</v>
      </c>
      <c r="F561">
        <v>8</v>
      </c>
    </row>
    <row r="562" spans="1:6" x14ac:dyDescent="0.2">
      <c r="A562" s="1" t="s">
        <v>268</v>
      </c>
      <c r="B562">
        <v>171</v>
      </c>
      <c r="C562">
        <v>63</v>
      </c>
      <c r="D562" t="s">
        <v>60</v>
      </c>
      <c r="E562" t="s">
        <v>365</v>
      </c>
      <c r="F562">
        <v>10</v>
      </c>
    </row>
    <row r="563" spans="1:6" x14ac:dyDescent="0.2">
      <c r="A563" s="1" t="s">
        <v>268</v>
      </c>
      <c r="B563">
        <v>165</v>
      </c>
      <c r="C563">
        <v>63</v>
      </c>
      <c r="D563" t="s">
        <v>60</v>
      </c>
      <c r="E563" t="s">
        <v>365</v>
      </c>
      <c r="F563">
        <v>7</v>
      </c>
    </row>
    <row r="564" spans="1:6" x14ac:dyDescent="0.2">
      <c r="A564" s="1" t="s">
        <v>268</v>
      </c>
      <c r="B564">
        <v>130</v>
      </c>
      <c r="C564">
        <v>60</v>
      </c>
      <c r="D564" t="s">
        <v>364</v>
      </c>
      <c r="E564" t="s">
        <v>365</v>
      </c>
      <c r="F564">
        <v>8</v>
      </c>
    </row>
    <row r="565" spans="1:6" x14ac:dyDescent="0.2">
      <c r="A565" s="1" t="s">
        <v>268</v>
      </c>
      <c r="B565">
        <v>329</v>
      </c>
      <c r="C565">
        <v>39</v>
      </c>
      <c r="D565" t="s">
        <v>364</v>
      </c>
      <c r="E565" t="s">
        <v>365</v>
      </c>
      <c r="F565">
        <v>5</v>
      </c>
    </row>
    <row r="566" spans="1:6" x14ac:dyDescent="0.2">
      <c r="A566" s="1" t="s">
        <v>268</v>
      </c>
      <c r="B566">
        <v>329</v>
      </c>
      <c r="C566">
        <v>43</v>
      </c>
      <c r="D566" t="s">
        <v>364</v>
      </c>
      <c r="E566">
        <v>0</v>
      </c>
      <c r="F566">
        <v>10</v>
      </c>
    </row>
    <row r="567" spans="1:6" x14ac:dyDescent="0.2">
      <c r="A567" s="1" t="s">
        <v>268</v>
      </c>
      <c r="B567">
        <v>310</v>
      </c>
      <c r="C567">
        <v>55</v>
      </c>
      <c r="D567" t="s">
        <v>60</v>
      </c>
      <c r="E567">
        <v>0</v>
      </c>
      <c r="F567">
        <v>9</v>
      </c>
    </row>
    <row r="568" spans="1:6" x14ac:dyDescent="0.2">
      <c r="A568" s="1" t="s">
        <v>272</v>
      </c>
      <c r="B568">
        <v>177</v>
      </c>
      <c r="C568">
        <v>39</v>
      </c>
      <c r="D568" t="s">
        <v>364</v>
      </c>
      <c r="E568" t="s">
        <v>365</v>
      </c>
      <c r="F568">
        <v>9</v>
      </c>
    </row>
    <row r="569" spans="1:6" x14ac:dyDescent="0.2">
      <c r="A569" s="1" t="s">
        <v>276</v>
      </c>
      <c r="B569">
        <v>304</v>
      </c>
      <c r="C569">
        <v>51</v>
      </c>
      <c r="D569" t="s">
        <v>60</v>
      </c>
      <c r="E569">
        <v>5</v>
      </c>
      <c r="F569">
        <v>8</v>
      </c>
    </row>
    <row r="570" spans="1:6" x14ac:dyDescent="0.2">
      <c r="A570" s="1" t="s">
        <v>276</v>
      </c>
      <c r="B570">
        <v>296</v>
      </c>
      <c r="C570">
        <v>49</v>
      </c>
      <c r="D570" t="s">
        <v>60</v>
      </c>
      <c r="E570" t="s">
        <v>365</v>
      </c>
      <c r="F570">
        <v>8</v>
      </c>
    </row>
    <row r="571" spans="1:6" x14ac:dyDescent="0.2">
      <c r="A571" s="1" t="s">
        <v>276</v>
      </c>
      <c r="B571">
        <v>330</v>
      </c>
      <c r="C571">
        <v>77</v>
      </c>
      <c r="D571" t="s">
        <v>364</v>
      </c>
      <c r="E571">
        <v>10</v>
      </c>
      <c r="F571">
        <v>8</v>
      </c>
    </row>
    <row r="572" spans="1:6" x14ac:dyDescent="0.2">
      <c r="A572" s="1" t="s">
        <v>276</v>
      </c>
      <c r="B572">
        <v>329</v>
      </c>
      <c r="C572">
        <v>77</v>
      </c>
      <c r="D572" t="s">
        <v>364</v>
      </c>
      <c r="E572">
        <v>10</v>
      </c>
      <c r="F572">
        <v>4</v>
      </c>
    </row>
    <row r="573" spans="1:6" x14ac:dyDescent="0.2">
      <c r="A573" s="1" t="s">
        <v>276</v>
      </c>
      <c r="B573">
        <v>335</v>
      </c>
      <c r="C573">
        <v>90</v>
      </c>
      <c r="D573" t="s">
        <v>364</v>
      </c>
      <c r="E573" t="s">
        <v>365</v>
      </c>
      <c r="F573">
        <v>5</v>
      </c>
    </row>
    <row r="574" spans="1:6" x14ac:dyDescent="0.2">
      <c r="A574" s="1" t="s">
        <v>276</v>
      </c>
      <c r="B574">
        <v>335</v>
      </c>
      <c r="C574">
        <v>74</v>
      </c>
      <c r="D574" t="s">
        <v>364</v>
      </c>
      <c r="E574" t="s">
        <v>365</v>
      </c>
      <c r="F574">
        <v>4</v>
      </c>
    </row>
    <row r="575" spans="1:6" x14ac:dyDescent="0.2">
      <c r="A575" s="1" t="s">
        <v>276</v>
      </c>
      <c r="B575">
        <v>335</v>
      </c>
      <c r="C575">
        <v>92</v>
      </c>
      <c r="D575" t="s">
        <v>364</v>
      </c>
      <c r="E575" t="s">
        <v>365</v>
      </c>
      <c r="F575">
        <v>7</v>
      </c>
    </row>
    <row r="576" spans="1:6" x14ac:dyDescent="0.2">
      <c r="A576" s="1" t="s">
        <v>276</v>
      </c>
      <c r="B576">
        <v>334</v>
      </c>
      <c r="C576">
        <v>92</v>
      </c>
      <c r="D576" t="s">
        <v>375</v>
      </c>
      <c r="E576" t="s">
        <v>365</v>
      </c>
      <c r="F576">
        <v>4</v>
      </c>
    </row>
    <row r="577" spans="1:6" x14ac:dyDescent="0.2">
      <c r="A577" s="1" t="s">
        <v>276</v>
      </c>
      <c r="B577">
        <v>331</v>
      </c>
      <c r="C577">
        <v>84</v>
      </c>
      <c r="D577" t="s">
        <v>370</v>
      </c>
      <c r="E577">
        <v>10</v>
      </c>
      <c r="F577">
        <v>6</v>
      </c>
    </row>
    <row r="578" spans="1:6" x14ac:dyDescent="0.2">
      <c r="A578" s="1" t="s">
        <v>276</v>
      </c>
      <c r="B578">
        <v>329</v>
      </c>
      <c r="C578">
        <v>94</v>
      </c>
      <c r="D578" t="s">
        <v>60</v>
      </c>
      <c r="E578" t="s">
        <v>365</v>
      </c>
      <c r="F578">
        <v>3</v>
      </c>
    </row>
    <row r="579" spans="1:6" x14ac:dyDescent="0.2">
      <c r="A579" s="1" t="s">
        <v>276</v>
      </c>
      <c r="B579">
        <v>325</v>
      </c>
      <c r="C579">
        <v>66</v>
      </c>
      <c r="D579" t="s">
        <v>364</v>
      </c>
      <c r="E579">
        <v>8</v>
      </c>
      <c r="F579">
        <v>8</v>
      </c>
    </row>
    <row r="580" spans="1:6" x14ac:dyDescent="0.2">
      <c r="A580" s="1" t="s">
        <v>276</v>
      </c>
      <c r="B580">
        <v>322</v>
      </c>
      <c r="C580">
        <v>63</v>
      </c>
      <c r="D580" t="s">
        <v>60</v>
      </c>
      <c r="E580">
        <v>10</v>
      </c>
      <c r="F580">
        <v>6</v>
      </c>
    </row>
    <row r="581" spans="1:6" x14ac:dyDescent="0.2">
      <c r="A581" s="1" t="s">
        <v>276</v>
      </c>
      <c r="B581">
        <v>325</v>
      </c>
      <c r="C581">
        <v>64</v>
      </c>
      <c r="D581" t="s">
        <v>60</v>
      </c>
      <c r="E581" t="s">
        <v>365</v>
      </c>
      <c r="F581">
        <v>3</v>
      </c>
    </row>
    <row r="582" spans="1:6" x14ac:dyDescent="0.2">
      <c r="A582" s="1" t="s">
        <v>276</v>
      </c>
      <c r="B582">
        <v>325</v>
      </c>
      <c r="C582">
        <v>64</v>
      </c>
      <c r="D582" t="s">
        <v>60</v>
      </c>
      <c r="E582" t="s">
        <v>365</v>
      </c>
      <c r="F582">
        <v>8</v>
      </c>
    </row>
    <row r="583" spans="1:6" x14ac:dyDescent="0.2">
      <c r="A583" s="1" t="s">
        <v>276</v>
      </c>
      <c r="B583">
        <v>319</v>
      </c>
      <c r="C583">
        <v>66</v>
      </c>
      <c r="D583" t="s">
        <v>364</v>
      </c>
      <c r="E583">
        <v>2</v>
      </c>
      <c r="F583">
        <v>10</v>
      </c>
    </row>
    <row r="584" spans="1:6" x14ac:dyDescent="0.2">
      <c r="A584" s="1" t="s">
        <v>276</v>
      </c>
      <c r="B584">
        <v>323</v>
      </c>
      <c r="C584">
        <v>77</v>
      </c>
      <c r="D584" t="s">
        <v>364</v>
      </c>
      <c r="E584">
        <v>10</v>
      </c>
      <c r="F584">
        <v>10</v>
      </c>
    </row>
    <row r="585" spans="1:6" x14ac:dyDescent="0.2">
      <c r="A585" s="1" t="s">
        <v>276</v>
      </c>
      <c r="B585">
        <v>320</v>
      </c>
      <c r="C585">
        <v>64</v>
      </c>
      <c r="D585" t="s">
        <v>60</v>
      </c>
      <c r="E585" t="s">
        <v>365</v>
      </c>
      <c r="F585">
        <v>2</v>
      </c>
    </row>
    <row r="586" spans="1:6" x14ac:dyDescent="0.2">
      <c r="A586" s="1" t="s">
        <v>276</v>
      </c>
      <c r="B586">
        <v>311</v>
      </c>
      <c r="C586">
        <v>68</v>
      </c>
      <c r="D586" t="s">
        <v>364</v>
      </c>
      <c r="E586" t="s">
        <v>365</v>
      </c>
      <c r="F586">
        <v>5</v>
      </c>
    </row>
    <row r="587" spans="1:6" x14ac:dyDescent="0.2">
      <c r="A587" s="1" t="s">
        <v>276</v>
      </c>
      <c r="B587">
        <v>311</v>
      </c>
      <c r="C587">
        <v>98</v>
      </c>
      <c r="D587" t="s">
        <v>60</v>
      </c>
      <c r="E587" t="s">
        <v>365</v>
      </c>
      <c r="F587">
        <v>5</v>
      </c>
    </row>
    <row r="588" spans="1:6" x14ac:dyDescent="0.2">
      <c r="A588" s="1" t="s">
        <v>276</v>
      </c>
      <c r="B588">
        <v>312</v>
      </c>
      <c r="C588">
        <v>103</v>
      </c>
      <c r="D588" t="s">
        <v>60</v>
      </c>
      <c r="E588" t="s">
        <v>365</v>
      </c>
      <c r="F588">
        <v>5</v>
      </c>
    </row>
    <row r="589" spans="1:6" x14ac:dyDescent="0.2">
      <c r="A589" s="1" t="s">
        <v>276</v>
      </c>
      <c r="B589">
        <v>310</v>
      </c>
      <c r="C589">
        <v>54</v>
      </c>
      <c r="D589" t="s">
        <v>370</v>
      </c>
      <c r="E589">
        <v>8</v>
      </c>
      <c r="F589">
        <v>6</v>
      </c>
    </row>
    <row r="590" spans="1:6" x14ac:dyDescent="0.2">
      <c r="A590" s="1" t="s">
        <v>276</v>
      </c>
      <c r="B590">
        <v>306</v>
      </c>
      <c r="C590">
        <v>93</v>
      </c>
      <c r="D590" t="s">
        <v>364</v>
      </c>
      <c r="E590">
        <v>10</v>
      </c>
      <c r="F590">
        <v>3</v>
      </c>
    </row>
    <row r="591" spans="1:6" x14ac:dyDescent="0.2">
      <c r="A591" s="1" t="s">
        <v>276</v>
      </c>
      <c r="B591">
        <v>303</v>
      </c>
      <c r="C591">
        <v>70</v>
      </c>
      <c r="D591" t="s">
        <v>60</v>
      </c>
      <c r="E591">
        <v>2</v>
      </c>
      <c r="F591">
        <v>12</v>
      </c>
    </row>
    <row r="592" spans="1:6" x14ac:dyDescent="0.2">
      <c r="A592" s="1" t="s">
        <v>276</v>
      </c>
      <c r="B592">
        <v>294</v>
      </c>
      <c r="C592">
        <v>51</v>
      </c>
      <c r="D592" t="s">
        <v>370</v>
      </c>
      <c r="E592">
        <v>8</v>
      </c>
      <c r="F592">
        <v>6</v>
      </c>
    </row>
    <row r="593" spans="1:6" x14ac:dyDescent="0.2">
      <c r="A593" s="1" t="s">
        <v>276</v>
      </c>
      <c r="B593">
        <v>297</v>
      </c>
      <c r="C593">
        <v>94</v>
      </c>
      <c r="D593" t="s">
        <v>60</v>
      </c>
      <c r="E593" t="s">
        <v>365</v>
      </c>
      <c r="F593">
        <v>8</v>
      </c>
    </row>
    <row r="594" spans="1:6" x14ac:dyDescent="0.2">
      <c r="A594" s="1" t="s">
        <v>276</v>
      </c>
      <c r="B594">
        <v>297</v>
      </c>
      <c r="C594">
        <v>47</v>
      </c>
      <c r="D594" t="s">
        <v>60</v>
      </c>
      <c r="E594" t="s">
        <v>365</v>
      </c>
      <c r="F594">
        <v>2</v>
      </c>
    </row>
    <row r="595" spans="1:6" x14ac:dyDescent="0.2">
      <c r="A595" s="1" t="s">
        <v>276</v>
      </c>
      <c r="B595">
        <v>284</v>
      </c>
      <c r="C595">
        <v>57</v>
      </c>
      <c r="D595" t="s">
        <v>364</v>
      </c>
      <c r="E595" t="s">
        <v>365</v>
      </c>
      <c r="F595">
        <v>7</v>
      </c>
    </row>
    <row r="596" spans="1:6" x14ac:dyDescent="0.2">
      <c r="A596" s="1" t="s">
        <v>276</v>
      </c>
      <c r="B596">
        <v>286</v>
      </c>
      <c r="C596">
        <v>57</v>
      </c>
      <c r="D596" t="s">
        <v>364</v>
      </c>
      <c r="E596" t="s">
        <v>365</v>
      </c>
      <c r="F596">
        <v>5</v>
      </c>
    </row>
    <row r="597" spans="1:6" x14ac:dyDescent="0.2">
      <c r="A597" s="1" t="s">
        <v>276</v>
      </c>
      <c r="B597">
        <v>299</v>
      </c>
      <c r="C597">
        <v>100</v>
      </c>
      <c r="D597" t="s">
        <v>60</v>
      </c>
      <c r="E597" t="s">
        <v>365</v>
      </c>
      <c r="F597">
        <v>8</v>
      </c>
    </row>
    <row r="598" spans="1:6" x14ac:dyDescent="0.2">
      <c r="A598" s="1" t="s">
        <v>276</v>
      </c>
      <c r="B598">
        <v>282</v>
      </c>
      <c r="C598">
        <v>46</v>
      </c>
      <c r="D598" t="s">
        <v>364</v>
      </c>
      <c r="E598">
        <v>8</v>
      </c>
      <c r="F598">
        <v>6</v>
      </c>
    </row>
    <row r="599" spans="1:6" x14ac:dyDescent="0.2">
      <c r="A599" s="1" t="s">
        <v>276</v>
      </c>
      <c r="B599">
        <v>291</v>
      </c>
      <c r="C599">
        <v>106</v>
      </c>
      <c r="D599" t="s">
        <v>60</v>
      </c>
      <c r="E599" t="s">
        <v>365</v>
      </c>
      <c r="F599">
        <v>5</v>
      </c>
    </row>
    <row r="600" spans="1:6" x14ac:dyDescent="0.2">
      <c r="A600" s="1" t="s">
        <v>276</v>
      </c>
      <c r="B600">
        <v>290</v>
      </c>
      <c r="C600">
        <v>98</v>
      </c>
      <c r="D600" t="s">
        <v>364</v>
      </c>
      <c r="E600" t="s">
        <v>365</v>
      </c>
      <c r="F600">
        <v>6</v>
      </c>
    </row>
    <row r="601" spans="1:6" x14ac:dyDescent="0.2">
      <c r="A601" s="1" t="s">
        <v>276</v>
      </c>
      <c r="B601">
        <v>290</v>
      </c>
      <c r="C601">
        <v>95</v>
      </c>
      <c r="D601" t="s">
        <v>364</v>
      </c>
      <c r="E601">
        <v>10</v>
      </c>
      <c r="F601">
        <v>5</v>
      </c>
    </row>
    <row r="602" spans="1:6" x14ac:dyDescent="0.2">
      <c r="A602" s="1" t="s">
        <v>276</v>
      </c>
      <c r="B602">
        <v>282</v>
      </c>
      <c r="C602">
        <v>67</v>
      </c>
      <c r="D602" t="s">
        <v>60</v>
      </c>
      <c r="E602" t="s">
        <v>365</v>
      </c>
      <c r="F602">
        <v>3</v>
      </c>
    </row>
    <row r="603" spans="1:6" x14ac:dyDescent="0.2">
      <c r="A603" s="1" t="s">
        <v>276</v>
      </c>
      <c r="B603">
        <v>282</v>
      </c>
      <c r="C603">
        <v>67</v>
      </c>
      <c r="D603" t="s">
        <v>373</v>
      </c>
      <c r="E603" t="s">
        <v>365</v>
      </c>
      <c r="F603">
        <v>18</v>
      </c>
    </row>
    <row r="604" spans="1:6" x14ac:dyDescent="0.2">
      <c r="A604" s="1" t="s">
        <v>276</v>
      </c>
      <c r="B604">
        <v>292</v>
      </c>
      <c r="C604">
        <v>90</v>
      </c>
      <c r="D604" t="s">
        <v>60</v>
      </c>
      <c r="E604" t="s">
        <v>365</v>
      </c>
      <c r="F604">
        <v>8</v>
      </c>
    </row>
    <row r="605" spans="1:6" x14ac:dyDescent="0.2">
      <c r="A605" s="1" t="s">
        <v>276</v>
      </c>
      <c r="B605">
        <v>286</v>
      </c>
      <c r="C605">
        <v>68</v>
      </c>
      <c r="D605" t="s">
        <v>364</v>
      </c>
      <c r="E605" t="s">
        <v>365</v>
      </c>
      <c r="F605">
        <v>6</v>
      </c>
    </row>
    <row r="606" spans="1:6" x14ac:dyDescent="0.2">
      <c r="A606" s="1" t="s">
        <v>276</v>
      </c>
      <c r="B606">
        <v>286</v>
      </c>
      <c r="C606">
        <v>71</v>
      </c>
      <c r="D606" t="s">
        <v>364</v>
      </c>
      <c r="E606" t="s">
        <v>365</v>
      </c>
      <c r="F606">
        <v>4</v>
      </c>
    </row>
    <row r="607" spans="1:6" x14ac:dyDescent="0.2">
      <c r="A607" s="1" t="s">
        <v>276</v>
      </c>
      <c r="B607">
        <v>292</v>
      </c>
      <c r="C607">
        <v>77</v>
      </c>
      <c r="D607" t="s">
        <v>373</v>
      </c>
      <c r="E607" t="s">
        <v>365</v>
      </c>
      <c r="F607">
        <v>48</v>
      </c>
    </row>
    <row r="608" spans="1:6" x14ac:dyDescent="0.2">
      <c r="A608" s="1" t="s">
        <v>276</v>
      </c>
      <c r="B608">
        <v>286</v>
      </c>
      <c r="C608">
        <v>69</v>
      </c>
      <c r="D608" t="s">
        <v>370</v>
      </c>
      <c r="E608" t="s">
        <v>365</v>
      </c>
      <c r="F608">
        <v>6</v>
      </c>
    </row>
    <row r="609" spans="1:6" x14ac:dyDescent="0.2">
      <c r="A609" s="1" t="s">
        <v>276</v>
      </c>
      <c r="B609">
        <v>220</v>
      </c>
      <c r="C609">
        <v>65</v>
      </c>
      <c r="D609" t="s">
        <v>364</v>
      </c>
      <c r="E609">
        <v>3</v>
      </c>
      <c r="F609">
        <v>12</v>
      </c>
    </row>
    <row r="610" spans="1:6" x14ac:dyDescent="0.2">
      <c r="A610" s="1" t="s">
        <v>276</v>
      </c>
      <c r="B610">
        <v>233</v>
      </c>
      <c r="C610">
        <v>68</v>
      </c>
      <c r="D610" t="s">
        <v>370</v>
      </c>
      <c r="E610">
        <v>8</v>
      </c>
      <c r="F610">
        <v>6</v>
      </c>
    </row>
    <row r="611" spans="1:6" x14ac:dyDescent="0.2">
      <c r="A611" s="1" t="s">
        <v>276</v>
      </c>
      <c r="B611">
        <v>229</v>
      </c>
      <c r="C611">
        <v>29</v>
      </c>
      <c r="D611" t="s">
        <v>370</v>
      </c>
      <c r="E611">
        <v>2</v>
      </c>
      <c r="F611">
        <v>10</v>
      </c>
    </row>
    <row r="612" spans="1:6" x14ac:dyDescent="0.2">
      <c r="A612" s="1" t="s">
        <v>276</v>
      </c>
      <c r="B612">
        <v>230</v>
      </c>
      <c r="C612">
        <v>29</v>
      </c>
      <c r="D612" t="s">
        <v>364</v>
      </c>
      <c r="E612">
        <v>4</v>
      </c>
      <c r="F612">
        <v>10</v>
      </c>
    </row>
    <row r="613" spans="1:6" x14ac:dyDescent="0.2">
      <c r="A613" s="1" t="s">
        <v>276</v>
      </c>
      <c r="B613">
        <v>308</v>
      </c>
      <c r="C613">
        <v>5</v>
      </c>
      <c r="D613" t="s">
        <v>364</v>
      </c>
      <c r="E613">
        <v>6</v>
      </c>
      <c r="F613">
        <v>9</v>
      </c>
    </row>
    <row r="614" spans="1:6" x14ac:dyDescent="0.2">
      <c r="A614" s="1" t="s">
        <v>276</v>
      </c>
      <c r="B614">
        <v>183</v>
      </c>
      <c r="C614">
        <v>40</v>
      </c>
      <c r="D614" t="s">
        <v>364</v>
      </c>
      <c r="E614">
        <v>10</v>
      </c>
      <c r="F614">
        <v>10</v>
      </c>
    </row>
    <row r="615" spans="1:6" x14ac:dyDescent="0.2">
      <c r="A615" s="1" t="s">
        <v>276</v>
      </c>
      <c r="B615">
        <v>328</v>
      </c>
      <c r="C615">
        <v>8</v>
      </c>
      <c r="D615" t="s">
        <v>373</v>
      </c>
      <c r="E615" t="s">
        <v>365</v>
      </c>
      <c r="F615">
        <v>24</v>
      </c>
    </row>
    <row r="616" spans="1:6" x14ac:dyDescent="0.2">
      <c r="A616" s="1" t="s">
        <v>276</v>
      </c>
      <c r="B616">
        <v>180</v>
      </c>
      <c r="C616">
        <v>67</v>
      </c>
      <c r="D616" t="s">
        <v>364</v>
      </c>
      <c r="E616">
        <v>10</v>
      </c>
      <c r="F616">
        <v>6</v>
      </c>
    </row>
    <row r="617" spans="1:6" x14ac:dyDescent="0.2">
      <c r="A617" s="1" t="s">
        <v>276</v>
      </c>
      <c r="B617">
        <v>180</v>
      </c>
      <c r="C617">
        <v>60</v>
      </c>
      <c r="D617" t="s">
        <v>364</v>
      </c>
      <c r="E617">
        <v>10</v>
      </c>
      <c r="F617">
        <v>4</v>
      </c>
    </row>
    <row r="618" spans="1:6" x14ac:dyDescent="0.2">
      <c r="A618" s="1" t="s">
        <v>276</v>
      </c>
      <c r="B618">
        <v>190</v>
      </c>
      <c r="C618">
        <v>49</v>
      </c>
      <c r="D618" t="s">
        <v>373</v>
      </c>
      <c r="E618" t="s">
        <v>365</v>
      </c>
      <c r="F618">
        <v>28</v>
      </c>
    </row>
    <row r="619" spans="1:6" x14ac:dyDescent="0.2">
      <c r="A619" s="1" t="s">
        <v>276</v>
      </c>
      <c r="B619">
        <v>139</v>
      </c>
      <c r="C619">
        <v>18</v>
      </c>
      <c r="D619" t="s">
        <v>364</v>
      </c>
      <c r="E619">
        <v>5</v>
      </c>
      <c r="F619">
        <v>12</v>
      </c>
    </row>
    <row r="620" spans="1:6" x14ac:dyDescent="0.2">
      <c r="A620" s="1" t="s">
        <v>276</v>
      </c>
      <c r="B620">
        <v>148</v>
      </c>
      <c r="C620">
        <v>13</v>
      </c>
      <c r="D620" t="s">
        <v>60</v>
      </c>
      <c r="E620" t="s">
        <v>365</v>
      </c>
      <c r="F620">
        <v>8</v>
      </c>
    </row>
    <row r="621" spans="1:6" x14ac:dyDescent="0.2">
      <c r="A621" s="1" t="s">
        <v>276</v>
      </c>
      <c r="B621">
        <v>3</v>
      </c>
      <c r="C621">
        <v>18</v>
      </c>
      <c r="D621" t="s">
        <v>60</v>
      </c>
      <c r="E621" t="s">
        <v>365</v>
      </c>
      <c r="F621">
        <v>4</v>
      </c>
    </row>
    <row r="622" spans="1:6" x14ac:dyDescent="0.2">
      <c r="A622" s="1" t="s">
        <v>276</v>
      </c>
      <c r="B622">
        <v>3</v>
      </c>
      <c r="C622">
        <v>40</v>
      </c>
      <c r="D622" t="s">
        <v>364</v>
      </c>
      <c r="E622" t="s">
        <v>365</v>
      </c>
      <c r="F622">
        <v>4</v>
      </c>
    </row>
    <row r="623" spans="1:6" x14ac:dyDescent="0.2">
      <c r="A623" s="1" t="s">
        <v>276</v>
      </c>
      <c r="B623">
        <v>353</v>
      </c>
      <c r="C623">
        <v>20</v>
      </c>
      <c r="D623" t="s">
        <v>60</v>
      </c>
      <c r="E623">
        <v>4</v>
      </c>
      <c r="F623">
        <v>5</v>
      </c>
    </row>
    <row r="624" spans="1:6" x14ac:dyDescent="0.2">
      <c r="A624" s="1" t="s">
        <v>279</v>
      </c>
      <c r="B624">
        <v>280</v>
      </c>
      <c r="C624">
        <v>37</v>
      </c>
      <c r="D624" t="s">
        <v>60</v>
      </c>
      <c r="E624" t="s">
        <v>365</v>
      </c>
      <c r="F624">
        <v>9</v>
      </c>
    </row>
    <row r="625" spans="1:6" x14ac:dyDescent="0.2">
      <c r="A625" s="1" t="s">
        <v>279</v>
      </c>
      <c r="B625">
        <v>278</v>
      </c>
      <c r="C625">
        <v>50</v>
      </c>
      <c r="D625" t="s">
        <v>364</v>
      </c>
      <c r="E625" t="s">
        <v>365</v>
      </c>
      <c r="F625">
        <v>4</v>
      </c>
    </row>
    <row r="626" spans="1:6" x14ac:dyDescent="0.2">
      <c r="A626" s="1" t="s">
        <v>279</v>
      </c>
      <c r="B626">
        <v>137</v>
      </c>
      <c r="C626">
        <v>17</v>
      </c>
      <c r="D626" t="s">
        <v>364</v>
      </c>
      <c r="E626">
        <v>4</v>
      </c>
      <c r="F626">
        <v>10</v>
      </c>
    </row>
    <row r="627" spans="1:6" x14ac:dyDescent="0.2">
      <c r="A627" s="1" t="s">
        <v>279</v>
      </c>
      <c r="B627">
        <v>137</v>
      </c>
      <c r="C627">
        <v>19</v>
      </c>
      <c r="D627" t="s">
        <v>364</v>
      </c>
      <c r="E627">
        <v>4</v>
      </c>
      <c r="F627">
        <v>6</v>
      </c>
    </row>
    <row r="628" spans="1:6" x14ac:dyDescent="0.2">
      <c r="A628" s="1" t="s">
        <v>279</v>
      </c>
      <c r="B628">
        <v>137</v>
      </c>
      <c r="C628">
        <v>25</v>
      </c>
      <c r="D628" t="s">
        <v>370</v>
      </c>
      <c r="E628">
        <v>2</v>
      </c>
      <c r="F628">
        <v>8</v>
      </c>
    </row>
    <row r="629" spans="1:6" x14ac:dyDescent="0.2">
      <c r="A629" s="1" t="s">
        <v>279</v>
      </c>
      <c r="B629">
        <v>311</v>
      </c>
      <c r="C629">
        <v>33</v>
      </c>
      <c r="D629" t="s">
        <v>60</v>
      </c>
      <c r="E629" t="s">
        <v>365</v>
      </c>
      <c r="F629">
        <v>8</v>
      </c>
    </row>
    <row r="630" spans="1:6" x14ac:dyDescent="0.2">
      <c r="A630" s="1" t="s">
        <v>279</v>
      </c>
      <c r="B630">
        <v>324</v>
      </c>
      <c r="C630">
        <v>37</v>
      </c>
      <c r="D630" t="s">
        <v>364</v>
      </c>
      <c r="E630" t="s">
        <v>365</v>
      </c>
      <c r="F630">
        <v>6</v>
      </c>
    </row>
    <row r="631" spans="1:6" x14ac:dyDescent="0.2">
      <c r="A631" s="1" t="s">
        <v>279</v>
      </c>
      <c r="B631">
        <v>358</v>
      </c>
      <c r="C631">
        <v>41</v>
      </c>
      <c r="D631" t="s">
        <v>364</v>
      </c>
      <c r="E631" t="s">
        <v>365</v>
      </c>
      <c r="F631">
        <v>8</v>
      </c>
    </row>
    <row r="632" spans="1:6" x14ac:dyDescent="0.2">
      <c r="A632" s="1" t="s">
        <v>279</v>
      </c>
      <c r="B632">
        <v>335</v>
      </c>
      <c r="C632">
        <v>19</v>
      </c>
      <c r="D632" t="s">
        <v>60</v>
      </c>
      <c r="E632">
        <v>5</v>
      </c>
      <c r="F632">
        <v>10</v>
      </c>
    </row>
    <row r="633" spans="1:6" x14ac:dyDescent="0.2">
      <c r="A633" s="1" t="s">
        <v>279</v>
      </c>
      <c r="B633">
        <v>330</v>
      </c>
      <c r="C633">
        <v>27</v>
      </c>
      <c r="D633" t="s">
        <v>364</v>
      </c>
      <c r="E633">
        <v>3</v>
      </c>
      <c r="F633">
        <v>14</v>
      </c>
    </row>
    <row r="634" spans="1:6" x14ac:dyDescent="0.2">
      <c r="A634" s="1" t="s">
        <v>279</v>
      </c>
      <c r="B634">
        <v>4</v>
      </c>
      <c r="C634">
        <v>39</v>
      </c>
      <c r="D634" t="s">
        <v>364</v>
      </c>
      <c r="E634" t="s">
        <v>365</v>
      </c>
      <c r="F634">
        <v>9</v>
      </c>
    </row>
    <row r="635" spans="1:6" x14ac:dyDescent="0.2">
      <c r="A635" s="1" t="s">
        <v>279</v>
      </c>
      <c r="B635">
        <v>1</v>
      </c>
      <c r="C635">
        <v>39</v>
      </c>
      <c r="D635" t="s">
        <v>364</v>
      </c>
      <c r="E635" t="s">
        <v>365</v>
      </c>
      <c r="F635">
        <v>8</v>
      </c>
    </row>
    <row r="636" spans="1:6" x14ac:dyDescent="0.2">
      <c r="A636" s="1" t="s">
        <v>279</v>
      </c>
      <c r="B636">
        <v>352</v>
      </c>
      <c r="C636">
        <v>54</v>
      </c>
      <c r="D636" t="s">
        <v>364</v>
      </c>
      <c r="E636">
        <v>10</v>
      </c>
      <c r="F636">
        <v>8</v>
      </c>
    </row>
    <row r="637" spans="1:6" x14ac:dyDescent="0.2">
      <c r="A637" s="1" t="s">
        <v>279</v>
      </c>
      <c r="B637">
        <v>353</v>
      </c>
      <c r="C637">
        <v>57</v>
      </c>
      <c r="D637" t="s">
        <v>364</v>
      </c>
      <c r="E637">
        <v>9</v>
      </c>
      <c r="F637">
        <v>4</v>
      </c>
    </row>
    <row r="638" spans="1:6" x14ac:dyDescent="0.2">
      <c r="A638" s="1" t="s">
        <v>279</v>
      </c>
      <c r="B638">
        <v>355</v>
      </c>
      <c r="C638">
        <v>57</v>
      </c>
      <c r="D638" t="s">
        <v>370</v>
      </c>
      <c r="E638">
        <v>10</v>
      </c>
      <c r="F638">
        <v>6</v>
      </c>
    </row>
    <row r="639" spans="1:6" x14ac:dyDescent="0.2">
      <c r="A639" s="1" t="s">
        <v>279</v>
      </c>
      <c r="B639">
        <v>18</v>
      </c>
      <c r="C639">
        <v>41</v>
      </c>
      <c r="D639" t="s">
        <v>364</v>
      </c>
      <c r="E639" t="s">
        <v>365</v>
      </c>
      <c r="F639">
        <v>13</v>
      </c>
    </row>
    <row r="640" spans="1:6" x14ac:dyDescent="0.2">
      <c r="A640" s="1" t="s">
        <v>279</v>
      </c>
      <c r="B640">
        <v>28</v>
      </c>
      <c r="C640">
        <v>39</v>
      </c>
      <c r="D640" t="s">
        <v>375</v>
      </c>
      <c r="E640" t="s">
        <v>365</v>
      </c>
      <c r="F640">
        <v>6</v>
      </c>
    </row>
    <row r="641" spans="1:6" x14ac:dyDescent="0.2">
      <c r="A641" s="1" t="s">
        <v>279</v>
      </c>
      <c r="B641">
        <v>352</v>
      </c>
      <c r="C641">
        <v>62</v>
      </c>
      <c r="D641" t="s">
        <v>364</v>
      </c>
      <c r="E641">
        <v>10</v>
      </c>
      <c r="F641">
        <v>8</v>
      </c>
    </row>
    <row r="642" spans="1:6" x14ac:dyDescent="0.2">
      <c r="A642" s="1" t="s">
        <v>279</v>
      </c>
      <c r="B642">
        <v>352</v>
      </c>
      <c r="C642">
        <v>65</v>
      </c>
      <c r="D642" t="s">
        <v>364</v>
      </c>
      <c r="E642" t="s">
        <v>365</v>
      </c>
      <c r="F642">
        <v>10</v>
      </c>
    </row>
    <row r="643" spans="1:6" x14ac:dyDescent="0.2">
      <c r="A643" s="1" t="s">
        <v>279</v>
      </c>
      <c r="B643">
        <v>355</v>
      </c>
      <c r="C643">
        <v>71</v>
      </c>
      <c r="D643" t="s">
        <v>364</v>
      </c>
      <c r="E643" t="s">
        <v>365</v>
      </c>
      <c r="F643">
        <v>6</v>
      </c>
    </row>
    <row r="644" spans="1:6" x14ac:dyDescent="0.2">
      <c r="A644" s="1" t="s">
        <v>279</v>
      </c>
      <c r="B644">
        <v>346</v>
      </c>
      <c r="C644">
        <v>89</v>
      </c>
      <c r="D644" t="s">
        <v>364</v>
      </c>
      <c r="E644">
        <v>2</v>
      </c>
      <c r="F644">
        <v>8</v>
      </c>
    </row>
    <row r="645" spans="1:6" x14ac:dyDescent="0.2">
      <c r="A645" s="1" t="s">
        <v>279</v>
      </c>
      <c r="B645">
        <v>346</v>
      </c>
      <c r="C645">
        <v>89</v>
      </c>
      <c r="D645" t="s">
        <v>364</v>
      </c>
      <c r="E645">
        <v>3</v>
      </c>
      <c r="F645">
        <v>8</v>
      </c>
    </row>
    <row r="646" spans="1:6" x14ac:dyDescent="0.2">
      <c r="A646" s="1" t="s">
        <v>297</v>
      </c>
      <c r="B646">
        <v>16</v>
      </c>
      <c r="C646">
        <v>28</v>
      </c>
      <c r="D646" t="s">
        <v>364</v>
      </c>
      <c r="E646" t="s">
        <v>365</v>
      </c>
      <c r="F646">
        <v>10</v>
      </c>
    </row>
    <row r="647" spans="1:6" x14ac:dyDescent="0.2">
      <c r="A647" s="1" t="s">
        <v>297</v>
      </c>
      <c r="B647">
        <v>16</v>
      </c>
      <c r="C647">
        <v>28</v>
      </c>
      <c r="D647" t="s">
        <v>364</v>
      </c>
      <c r="E647" t="s">
        <v>365</v>
      </c>
      <c r="F647">
        <v>5</v>
      </c>
    </row>
    <row r="648" spans="1:6" x14ac:dyDescent="0.2">
      <c r="A648" s="1" t="s">
        <v>297</v>
      </c>
      <c r="B648">
        <v>157</v>
      </c>
      <c r="C648">
        <v>34</v>
      </c>
      <c r="D648" t="s">
        <v>364</v>
      </c>
      <c r="E648">
        <v>2</v>
      </c>
      <c r="F648">
        <v>10</v>
      </c>
    </row>
    <row r="649" spans="1:6" x14ac:dyDescent="0.2">
      <c r="A649" s="1" t="s">
        <v>297</v>
      </c>
      <c r="B649">
        <v>187</v>
      </c>
      <c r="C649">
        <v>38</v>
      </c>
      <c r="D649" t="s">
        <v>364</v>
      </c>
      <c r="E649" t="s">
        <v>365</v>
      </c>
      <c r="F649">
        <v>6</v>
      </c>
    </row>
    <row r="650" spans="1:6" x14ac:dyDescent="0.2">
      <c r="A650" s="1" t="s">
        <v>297</v>
      </c>
      <c r="B650">
        <v>187</v>
      </c>
      <c r="C650">
        <v>36</v>
      </c>
      <c r="D650" t="s">
        <v>60</v>
      </c>
      <c r="E650" t="s">
        <v>365</v>
      </c>
      <c r="F650">
        <v>6</v>
      </c>
    </row>
    <row r="651" spans="1:6" x14ac:dyDescent="0.2">
      <c r="A651" s="1" t="s">
        <v>297</v>
      </c>
      <c r="B651">
        <v>192</v>
      </c>
      <c r="C651">
        <v>42</v>
      </c>
      <c r="D651" t="s">
        <v>364</v>
      </c>
      <c r="E651" t="s">
        <v>365</v>
      </c>
      <c r="F651">
        <v>8</v>
      </c>
    </row>
    <row r="652" spans="1:6" x14ac:dyDescent="0.2">
      <c r="A652" s="1" t="s">
        <v>301</v>
      </c>
      <c r="B652">
        <v>339</v>
      </c>
      <c r="C652">
        <v>46</v>
      </c>
      <c r="D652" t="s">
        <v>364</v>
      </c>
      <c r="E652">
        <v>1</v>
      </c>
      <c r="F652">
        <v>7</v>
      </c>
    </row>
    <row r="653" spans="1:6" x14ac:dyDescent="0.2">
      <c r="A653" s="1" t="s">
        <v>301</v>
      </c>
      <c r="B653">
        <v>353</v>
      </c>
      <c r="C653">
        <v>54</v>
      </c>
      <c r="D653" t="s">
        <v>364</v>
      </c>
      <c r="E653" t="s">
        <v>365</v>
      </c>
      <c r="F653">
        <v>12</v>
      </c>
    </row>
    <row r="654" spans="1:6" x14ac:dyDescent="0.2">
      <c r="A654" s="1" t="s">
        <v>301</v>
      </c>
      <c r="B654">
        <v>20</v>
      </c>
      <c r="C654">
        <v>37</v>
      </c>
      <c r="D654" t="s">
        <v>60</v>
      </c>
      <c r="E654" t="s">
        <v>365</v>
      </c>
      <c r="F654">
        <v>10</v>
      </c>
    </row>
    <row r="655" spans="1:6" x14ac:dyDescent="0.2">
      <c r="A655" s="1" t="s">
        <v>301</v>
      </c>
      <c r="B655">
        <v>115</v>
      </c>
      <c r="C655">
        <v>50</v>
      </c>
      <c r="D655" t="s">
        <v>364</v>
      </c>
      <c r="E655">
        <v>1</v>
      </c>
      <c r="F655">
        <v>14</v>
      </c>
    </row>
    <row r="656" spans="1:6" x14ac:dyDescent="0.2">
      <c r="A656" s="1" t="s">
        <v>301</v>
      </c>
      <c r="B656">
        <v>121</v>
      </c>
      <c r="C656">
        <v>32</v>
      </c>
      <c r="D656" t="s">
        <v>60</v>
      </c>
      <c r="E656" t="s">
        <v>365</v>
      </c>
      <c r="F656">
        <v>8</v>
      </c>
    </row>
    <row r="657" spans="1:6" x14ac:dyDescent="0.2">
      <c r="A657" s="1" t="s">
        <v>301</v>
      </c>
      <c r="B657">
        <v>52</v>
      </c>
      <c r="C657">
        <v>57</v>
      </c>
      <c r="D657" t="s">
        <v>364</v>
      </c>
      <c r="E657">
        <v>6</v>
      </c>
      <c r="F657">
        <v>9</v>
      </c>
    </row>
    <row r="658" spans="1:6" x14ac:dyDescent="0.2">
      <c r="A658" s="1" t="s">
        <v>301</v>
      </c>
      <c r="B658">
        <v>44</v>
      </c>
      <c r="C658">
        <v>59</v>
      </c>
      <c r="D658" t="s">
        <v>364</v>
      </c>
      <c r="E658">
        <v>6</v>
      </c>
      <c r="F658">
        <v>4</v>
      </c>
    </row>
    <row r="659" spans="1:6" x14ac:dyDescent="0.2">
      <c r="A659" s="1" t="s">
        <v>301</v>
      </c>
      <c r="B659">
        <v>44</v>
      </c>
      <c r="C659">
        <v>55</v>
      </c>
      <c r="D659" t="s">
        <v>364</v>
      </c>
      <c r="E659">
        <v>8</v>
      </c>
      <c r="F659">
        <v>10</v>
      </c>
    </row>
    <row r="660" spans="1:6" x14ac:dyDescent="0.2">
      <c r="A660" s="1" t="s">
        <v>301</v>
      </c>
      <c r="B660">
        <v>39</v>
      </c>
      <c r="C660">
        <v>55</v>
      </c>
      <c r="D660" t="s">
        <v>364</v>
      </c>
      <c r="E660">
        <v>6</v>
      </c>
      <c r="F660">
        <v>10</v>
      </c>
    </row>
    <row r="661" spans="1:6" x14ac:dyDescent="0.2">
      <c r="A661" s="1" t="s">
        <v>304</v>
      </c>
      <c r="B661">
        <v>274</v>
      </c>
      <c r="C661">
        <v>35</v>
      </c>
      <c r="D661" t="s">
        <v>364</v>
      </c>
      <c r="E661">
        <v>2</v>
      </c>
      <c r="F661">
        <v>9</v>
      </c>
    </row>
    <row r="662" spans="1:6" x14ac:dyDescent="0.2">
      <c r="A662" s="1" t="s">
        <v>304</v>
      </c>
      <c r="B662">
        <v>270</v>
      </c>
      <c r="C662">
        <v>85</v>
      </c>
      <c r="D662" t="s">
        <v>364</v>
      </c>
      <c r="E662" t="s">
        <v>365</v>
      </c>
      <c r="F662">
        <v>8</v>
      </c>
    </row>
    <row r="663" spans="1:6" x14ac:dyDescent="0.2">
      <c r="A663" s="1" t="s">
        <v>304</v>
      </c>
      <c r="B663">
        <v>270</v>
      </c>
      <c r="C663">
        <v>85</v>
      </c>
      <c r="D663" t="s">
        <v>364</v>
      </c>
      <c r="E663" t="s">
        <v>365</v>
      </c>
      <c r="F663">
        <v>10</v>
      </c>
    </row>
    <row r="664" spans="1:6" x14ac:dyDescent="0.2">
      <c r="A664" s="1" t="s">
        <v>304</v>
      </c>
      <c r="B664">
        <v>270</v>
      </c>
      <c r="C664">
        <v>79</v>
      </c>
      <c r="D664" t="s">
        <v>364</v>
      </c>
      <c r="E664">
        <v>5</v>
      </c>
      <c r="F664">
        <v>8</v>
      </c>
    </row>
    <row r="665" spans="1:6" x14ac:dyDescent="0.2">
      <c r="A665" s="1" t="s">
        <v>304</v>
      </c>
      <c r="B665">
        <v>111</v>
      </c>
      <c r="C665">
        <v>53</v>
      </c>
      <c r="D665" t="s">
        <v>60</v>
      </c>
      <c r="E665">
        <v>2</v>
      </c>
      <c r="F665">
        <v>7</v>
      </c>
    </row>
    <row r="666" spans="1:6" x14ac:dyDescent="0.2">
      <c r="A666" s="1" t="s">
        <v>308</v>
      </c>
      <c r="B666">
        <v>97</v>
      </c>
      <c r="C666">
        <v>37</v>
      </c>
      <c r="D666" t="s">
        <v>364</v>
      </c>
      <c r="E666" t="s">
        <v>365</v>
      </c>
      <c r="F666">
        <v>7</v>
      </c>
    </row>
    <row r="667" spans="1:6" x14ac:dyDescent="0.2">
      <c r="A667" s="1" t="s">
        <v>308</v>
      </c>
      <c r="B667">
        <v>103</v>
      </c>
      <c r="C667">
        <v>24</v>
      </c>
      <c r="D667" t="s">
        <v>60</v>
      </c>
      <c r="E667">
        <v>2</v>
      </c>
      <c r="F667">
        <v>11</v>
      </c>
    </row>
    <row r="668" spans="1:6" x14ac:dyDescent="0.2">
      <c r="A668" s="1" t="s">
        <v>308</v>
      </c>
      <c r="B668">
        <v>332</v>
      </c>
      <c r="C668">
        <v>60</v>
      </c>
      <c r="D668" t="s">
        <v>60</v>
      </c>
      <c r="E668">
        <v>2</v>
      </c>
      <c r="F668">
        <v>4</v>
      </c>
    </row>
    <row r="669" spans="1:6" x14ac:dyDescent="0.2">
      <c r="A669" s="1" t="s">
        <v>308</v>
      </c>
      <c r="B669">
        <v>328</v>
      </c>
      <c r="C669">
        <v>62</v>
      </c>
      <c r="D669" t="s">
        <v>406</v>
      </c>
      <c r="E669" t="s">
        <v>365</v>
      </c>
      <c r="F669">
        <v>6</v>
      </c>
    </row>
    <row r="670" spans="1:6" x14ac:dyDescent="0.2">
      <c r="A670" s="1" t="s">
        <v>308</v>
      </c>
      <c r="B670">
        <v>324</v>
      </c>
      <c r="C670">
        <v>62</v>
      </c>
      <c r="D670" t="s">
        <v>364</v>
      </c>
      <c r="E670" t="s">
        <v>365</v>
      </c>
      <c r="F670">
        <v>6</v>
      </c>
    </row>
    <row r="671" spans="1:6" x14ac:dyDescent="0.2">
      <c r="A671" s="1" t="s">
        <v>310</v>
      </c>
      <c r="B671">
        <v>303</v>
      </c>
      <c r="C671">
        <v>64</v>
      </c>
      <c r="D671" t="s">
        <v>364</v>
      </c>
      <c r="E671">
        <v>3</v>
      </c>
      <c r="F671">
        <v>10</v>
      </c>
    </row>
    <row r="672" spans="1:6" x14ac:dyDescent="0.2">
      <c r="A672" s="1" t="s">
        <v>310</v>
      </c>
      <c r="B672">
        <v>1388</v>
      </c>
      <c r="C672">
        <v>21</v>
      </c>
      <c r="D672" t="s">
        <v>364</v>
      </c>
      <c r="E672">
        <v>5</v>
      </c>
      <c r="F672">
        <v>7</v>
      </c>
    </row>
    <row r="673" spans="1:6" x14ac:dyDescent="0.2">
      <c r="A673" s="1" t="s">
        <v>310</v>
      </c>
      <c r="B673">
        <v>124</v>
      </c>
      <c r="C673">
        <v>33</v>
      </c>
      <c r="D673" t="s">
        <v>364</v>
      </c>
      <c r="E673">
        <v>7</v>
      </c>
      <c r="F673">
        <v>9</v>
      </c>
    </row>
    <row r="674" spans="1:6" x14ac:dyDescent="0.2">
      <c r="A674" s="1" t="s">
        <v>310</v>
      </c>
      <c r="B674">
        <v>275</v>
      </c>
      <c r="C674">
        <v>88.5</v>
      </c>
      <c r="D674" t="s">
        <v>364</v>
      </c>
      <c r="E674">
        <v>10</v>
      </c>
      <c r="F674">
        <v>6</v>
      </c>
    </row>
    <row r="675" spans="1:6" x14ac:dyDescent="0.2">
      <c r="A675" s="1" t="s">
        <v>310</v>
      </c>
      <c r="B675">
        <v>193</v>
      </c>
      <c r="C675">
        <v>75</v>
      </c>
      <c r="D675" t="s">
        <v>364</v>
      </c>
      <c r="E675">
        <v>5</v>
      </c>
      <c r="F675">
        <v>8</v>
      </c>
    </row>
    <row r="676" spans="1:6" x14ac:dyDescent="0.2">
      <c r="A676" s="1" t="s">
        <v>310</v>
      </c>
      <c r="B676">
        <v>188</v>
      </c>
      <c r="C676">
        <v>81</v>
      </c>
      <c r="D676" t="s">
        <v>364</v>
      </c>
      <c r="E676">
        <v>3</v>
      </c>
      <c r="F676">
        <v>8</v>
      </c>
    </row>
    <row r="677" spans="1:6" x14ac:dyDescent="0.2">
      <c r="A677" s="1" t="s">
        <v>310</v>
      </c>
      <c r="B677">
        <v>188</v>
      </c>
      <c r="C677">
        <v>84</v>
      </c>
      <c r="D677" t="s">
        <v>364</v>
      </c>
      <c r="E677">
        <v>3</v>
      </c>
      <c r="F677">
        <v>8</v>
      </c>
    </row>
    <row r="678" spans="1:6" x14ac:dyDescent="0.2">
      <c r="A678" s="1" t="s">
        <v>313</v>
      </c>
      <c r="B678">
        <v>283</v>
      </c>
      <c r="C678">
        <v>14</v>
      </c>
      <c r="D678" t="s">
        <v>364</v>
      </c>
      <c r="E678">
        <v>5</v>
      </c>
      <c r="F678">
        <v>6</v>
      </c>
    </row>
    <row r="679" spans="1:6" x14ac:dyDescent="0.2">
      <c r="A679" s="1" t="s">
        <v>313</v>
      </c>
      <c r="B679">
        <v>303</v>
      </c>
      <c r="C679">
        <v>22</v>
      </c>
      <c r="D679" t="s">
        <v>364</v>
      </c>
      <c r="E679" t="s">
        <v>365</v>
      </c>
      <c r="F679">
        <v>4</v>
      </c>
    </row>
    <row r="680" spans="1:6" x14ac:dyDescent="0.2">
      <c r="A680" s="1" t="s">
        <v>313</v>
      </c>
      <c r="B680">
        <v>303</v>
      </c>
      <c r="C680">
        <v>50</v>
      </c>
      <c r="D680" t="s">
        <v>364</v>
      </c>
      <c r="E680">
        <v>3</v>
      </c>
      <c r="F680">
        <v>10</v>
      </c>
    </row>
    <row r="681" spans="1:6" x14ac:dyDescent="0.2">
      <c r="A681" s="1" t="s">
        <v>313</v>
      </c>
      <c r="B681">
        <v>347</v>
      </c>
      <c r="C681">
        <v>50</v>
      </c>
      <c r="D681" t="s">
        <v>364</v>
      </c>
      <c r="E681">
        <v>3</v>
      </c>
      <c r="F681">
        <v>9</v>
      </c>
    </row>
    <row r="682" spans="1:6" x14ac:dyDescent="0.2">
      <c r="A682" s="1" t="s">
        <v>313</v>
      </c>
      <c r="B682">
        <v>312</v>
      </c>
      <c r="C682">
        <v>70</v>
      </c>
      <c r="D682" t="s">
        <v>60</v>
      </c>
      <c r="E682" t="s">
        <v>365</v>
      </c>
      <c r="F682">
        <v>5</v>
      </c>
    </row>
    <row r="683" spans="1:6" x14ac:dyDescent="0.2">
      <c r="A683" s="1" t="s">
        <v>313</v>
      </c>
      <c r="B683">
        <v>346</v>
      </c>
      <c r="C683">
        <v>64</v>
      </c>
      <c r="D683" t="s">
        <v>364</v>
      </c>
      <c r="E683">
        <v>10</v>
      </c>
      <c r="F683">
        <v>12</v>
      </c>
    </row>
    <row r="684" spans="1:6" x14ac:dyDescent="0.2">
      <c r="A684" s="1" t="s">
        <v>313</v>
      </c>
      <c r="B684">
        <v>336</v>
      </c>
      <c r="C684">
        <v>65</v>
      </c>
      <c r="D684" t="s">
        <v>364</v>
      </c>
      <c r="E684">
        <v>7</v>
      </c>
      <c r="F684">
        <v>8</v>
      </c>
    </row>
    <row r="685" spans="1:6" x14ac:dyDescent="0.2">
      <c r="A685" s="1" t="s">
        <v>313</v>
      </c>
      <c r="B685">
        <v>7</v>
      </c>
      <c r="C685">
        <v>64</v>
      </c>
      <c r="D685" t="s">
        <v>364</v>
      </c>
      <c r="E685">
        <v>8</v>
      </c>
      <c r="F685">
        <v>4</v>
      </c>
    </row>
    <row r="686" spans="1:6" x14ac:dyDescent="0.2">
      <c r="A686" s="1" t="s">
        <v>313</v>
      </c>
      <c r="B686">
        <v>3</v>
      </c>
      <c r="C686">
        <v>85</v>
      </c>
      <c r="D686" t="s">
        <v>364</v>
      </c>
      <c r="E686">
        <v>3</v>
      </c>
      <c r="F686">
        <v>4</v>
      </c>
    </row>
    <row r="687" spans="1:6" x14ac:dyDescent="0.2">
      <c r="A687" s="1" t="s">
        <v>313</v>
      </c>
      <c r="B687">
        <v>19</v>
      </c>
      <c r="C687">
        <v>104</v>
      </c>
      <c r="D687" t="s">
        <v>364</v>
      </c>
      <c r="E687" t="s">
        <v>365</v>
      </c>
      <c r="F687">
        <v>6</v>
      </c>
    </row>
    <row r="688" spans="1:6" x14ac:dyDescent="0.2">
      <c r="A688" s="1" t="s">
        <v>324</v>
      </c>
      <c r="B688">
        <v>201</v>
      </c>
      <c r="C688">
        <v>54</v>
      </c>
      <c r="D688" t="s">
        <v>60</v>
      </c>
      <c r="E688">
        <v>1</v>
      </c>
      <c r="F688">
        <v>14</v>
      </c>
    </row>
    <row r="689" spans="1:8" x14ac:dyDescent="0.2">
      <c r="A689" s="1" t="s">
        <v>114</v>
      </c>
      <c r="B689">
        <v>287</v>
      </c>
      <c r="C689">
        <v>23</v>
      </c>
      <c r="D689" t="s">
        <v>364</v>
      </c>
      <c r="E689">
        <v>8</v>
      </c>
      <c r="F689">
        <v>12</v>
      </c>
    </row>
    <row r="690" spans="1:8" x14ac:dyDescent="0.2">
      <c r="A690" s="1" t="s">
        <v>114</v>
      </c>
      <c r="B690">
        <v>60</v>
      </c>
      <c r="C690">
        <v>64</v>
      </c>
      <c r="D690" t="s">
        <v>364</v>
      </c>
      <c r="E690" t="s">
        <v>365</v>
      </c>
      <c r="F690">
        <v>8</v>
      </c>
    </row>
    <row r="691" spans="1:8" x14ac:dyDescent="0.2">
      <c r="A691" s="1" t="s">
        <v>114</v>
      </c>
      <c r="B691">
        <v>288</v>
      </c>
      <c r="C691">
        <v>62</v>
      </c>
      <c r="D691" t="s">
        <v>60</v>
      </c>
      <c r="E691" t="s">
        <v>365</v>
      </c>
      <c r="F691">
        <v>4</v>
      </c>
    </row>
    <row r="692" spans="1:8" x14ac:dyDescent="0.2">
      <c r="A692" s="1" t="s">
        <v>114</v>
      </c>
      <c r="B692">
        <v>318</v>
      </c>
      <c r="C692">
        <v>63</v>
      </c>
      <c r="D692" t="s">
        <v>364</v>
      </c>
      <c r="E692" t="s">
        <v>365</v>
      </c>
      <c r="F692">
        <v>8</v>
      </c>
    </row>
    <row r="693" spans="1:8" x14ac:dyDescent="0.2">
      <c r="A693" s="1" t="s">
        <v>114</v>
      </c>
      <c r="B693">
        <v>0</v>
      </c>
      <c r="C693">
        <v>87</v>
      </c>
      <c r="D693" t="s">
        <v>60</v>
      </c>
      <c r="E693">
        <v>6</v>
      </c>
      <c r="F693">
        <v>13</v>
      </c>
      <c r="G693" t="s">
        <v>407</v>
      </c>
      <c r="H693" s="4"/>
    </row>
    <row r="694" spans="1:8" x14ac:dyDescent="0.2">
      <c r="A694" s="1" t="s">
        <v>331</v>
      </c>
      <c r="B694">
        <v>177</v>
      </c>
      <c r="C694">
        <v>73</v>
      </c>
      <c r="D694" t="s">
        <v>364</v>
      </c>
      <c r="E694">
        <v>3</v>
      </c>
      <c r="F694">
        <v>12</v>
      </c>
    </row>
    <row r="695" spans="1:8" x14ac:dyDescent="0.2">
      <c r="A695" s="1" t="s">
        <v>331</v>
      </c>
      <c r="B695">
        <v>162</v>
      </c>
      <c r="C695">
        <v>81</v>
      </c>
      <c r="D695" t="s">
        <v>364</v>
      </c>
      <c r="E695">
        <v>6</v>
      </c>
      <c r="F695">
        <v>10</v>
      </c>
    </row>
    <row r="696" spans="1:8" x14ac:dyDescent="0.2">
      <c r="A696" s="1" t="s">
        <v>331</v>
      </c>
      <c r="B696">
        <v>186</v>
      </c>
      <c r="C696">
        <v>81</v>
      </c>
      <c r="D696" t="s">
        <v>364</v>
      </c>
      <c r="E696">
        <v>4</v>
      </c>
      <c r="F696">
        <v>12</v>
      </c>
    </row>
    <row r="697" spans="1:8" x14ac:dyDescent="0.2">
      <c r="A697" s="1" t="s">
        <v>331</v>
      </c>
      <c r="B697">
        <v>112</v>
      </c>
      <c r="C697">
        <v>50</v>
      </c>
      <c r="D697" t="s">
        <v>364</v>
      </c>
      <c r="E697">
        <v>6</v>
      </c>
      <c r="F697">
        <v>14</v>
      </c>
    </row>
    <row r="698" spans="1:8" x14ac:dyDescent="0.2">
      <c r="A698" s="1" t="s">
        <v>331</v>
      </c>
      <c r="B698">
        <v>112</v>
      </c>
      <c r="C698">
        <v>53</v>
      </c>
      <c r="D698" t="s">
        <v>364</v>
      </c>
      <c r="E698">
        <v>4</v>
      </c>
      <c r="F698">
        <v>6</v>
      </c>
    </row>
    <row r="699" spans="1:8" x14ac:dyDescent="0.2">
      <c r="A699" s="1" t="s">
        <v>331</v>
      </c>
      <c r="B699">
        <v>96</v>
      </c>
      <c r="C699">
        <v>76</v>
      </c>
      <c r="D699" t="s">
        <v>60</v>
      </c>
      <c r="E699">
        <v>4</v>
      </c>
      <c r="F699">
        <v>7</v>
      </c>
    </row>
    <row r="700" spans="1:8" x14ac:dyDescent="0.2">
      <c r="A700" s="1" t="s">
        <v>331</v>
      </c>
      <c r="B700">
        <v>195</v>
      </c>
      <c r="C700">
        <v>71</v>
      </c>
      <c r="D700" t="s">
        <v>364</v>
      </c>
      <c r="E700">
        <v>6</v>
      </c>
      <c r="F700">
        <v>13</v>
      </c>
    </row>
    <row r="701" spans="1:8" x14ac:dyDescent="0.2">
      <c r="A701" s="1" t="s">
        <v>331</v>
      </c>
      <c r="B701">
        <v>193</v>
      </c>
      <c r="C701">
        <v>65</v>
      </c>
      <c r="D701" t="s">
        <v>364</v>
      </c>
      <c r="E701">
        <v>5</v>
      </c>
      <c r="F701">
        <v>5</v>
      </c>
    </row>
    <row r="702" spans="1:8" x14ac:dyDescent="0.2">
      <c r="A702" s="1" t="s">
        <v>331</v>
      </c>
      <c r="B702">
        <v>207</v>
      </c>
      <c r="C702">
        <v>68</v>
      </c>
      <c r="D702" t="s">
        <v>364</v>
      </c>
      <c r="E702">
        <v>8</v>
      </c>
      <c r="F702">
        <v>10</v>
      </c>
    </row>
    <row r="703" spans="1:8" x14ac:dyDescent="0.2">
      <c r="A703" s="1" t="s">
        <v>331</v>
      </c>
      <c r="B703">
        <v>192</v>
      </c>
      <c r="C703">
        <v>60</v>
      </c>
      <c r="D703" t="s">
        <v>364</v>
      </c>
      <c r="E703" t="s">
        <v>365</v>
      </c>
      <c r="F703">
        <v>14</v>
      </c>
    </row>
    <row r="704" spans="1:8" x14ac:dyDescent="0.2">
      <c r="A704" s="1" t="s">
        <v>331</v>
      </c>
      <c r="B704">
        <v>194</v>
      </c>
      <c r="C704">
        <v>87</v>
      </c>
      <c r="D704" t="s">
        <v>364</v>
      </c>
      <c r="E704">
        <v>5</v>
      </c>
      <c r="F704">
        <v>13</v>
      </c>
    </row>
    <row r="705" spans="1:6" x14ac:dyDescent="0.2">
      <c r="A705" s="1" t="s">
        <v>331</v>
      </c>
      <c r="B705">
        <v>70</v>
      </c>
      <c r="C705">
        <v>40</v>
      </c>
      <c r="D705" t="s">
        <v>364</v>
      </c>
      <c r="E705" t="s">
        <v>365</v>
      </c>
      <c r="F705">
        <v>10</v>
      </c>
    </row>
    <row r="706" spans="1:6" x14ac:dyDescent="0.2">
      <c r="A706" s="1" t="s">
        <v>335</v>
      </c>
      <c r="B706">
        <v>116</v>
      </c>
      <c r="C706">
        <v>68</v>
      </c>
      <c r="D706" t="s">
        <v>364</v>
      </c>
      <c r="E706">
        <v>4</v>
      </c>
      <c r="F706">
        <v>10</v>
      </c>
    </row>
    <row r="707" spans="1:6" x14ac:dyDescent="0.2">
      <c r="A707" s="1" t="s">
        <v>335</v>
      </c>
      <c r="B707">
        <v>99</v>
      </c>
      <c r="C707">
        <v>63</v>
      </c>
      <c r="D707" t="s">
        <v>364</v>
      </c>
      <c r="E707">
        <v>8</v>
      </c>
      <c r="F707">
        <v>6</v>
      </c>
    </row>
    <row r="708" spans="1:6" x14ac:dyDescent="0.2">
      <c r="A708" s="1" t="s">
        <v>335</v>
      </c>
      <c r="B708">
        <v>96</v>
      </c>
      <c r="C708">
        <v>54</v>
      </c>
      <c r="D708" t="s">
        <v>364</v>
      </c>
      <c r="E708">
        <v>7</v>
      </c>
      <c r="F708">
        <v>10</v>
      </c>
    </row>
    <row r="709" spans="1:6" x14ac:dyDescent="0.2">
      <c r="A709" s="1" t="s">
        <v>335</v>
      </c>
      <c r="B709">
        <v>96</v>
      </c>
      <c r="C709">
        <v>56</v>
      </c>
      <c r="D709" t="s">
        <v>364</v>
      </c>
      <c r="E709">
        <v>5</v>
      </c>
      <c r="F709">
        <v>6</v>
      </c>
    </row>
    <row r="710" spans="1:6" x14ac:dyDescent="0.2">
      <c r="A710" s="1" t="s">
        <v>335</v>
      </c>
      <c r="B710">
        <v>244</v>
      </c>
      <c r="C710">
        <v>61</v>
      </c>
      <c r="D710" t="s">
        <v>60</v>
      </c>
      <c r="E710" t="s">
        <v>365</v>
      </c>
      <c r="F710">
        <v>8</v>
      </c>
    </row>
    <row r="711" spans="1:6" x14ac:dyDescent="0.2">
      <c r="A711" s="1" t="s">
        <v>335</v>
      </c>
      <c r="B711">
        <v>242</v>
      </c>
      <c r="C711">
        <v>70</v>
      </c>
      <c r="D711" t="s">
        <v>364</v>
      </c>
      <c r="E711">
        <v>6</v>
      </c>
      <c r="F711">
        <v>13</v>
      </c>
    </row>
    <row r="712" spans="1:6" x14ac:dyDescent="0.2">
      <c r="A712" s="1" t="s">
        <v>335</v>
      </c>
      <c r="B712">
        <v>249</v>
      </c>
      <c r="C712">
        <v>70</v>
      </c>
      <c r="D712" t="s">
        <v>364</v>
      </c>
      <c r="E712">
        <v>6</v>
      </c>
      <c r="F712">
        <v>5</v>
      </c>
    </row>
    <row r="713" spans="1:6" x14ac:dyDescent="0.2">
      <c r="A713" s="1" t="s">
        <v>335</v>
      </c>
      <c r="B713">
        <v>252</v>
      </c>
      <c r="C713">
        <v>70</v>
      </c>
      <c r="D713" t="s">
        <v>60</v>
      </c>
      <c r="E713" t="s">
        <v>365</v>
      </c>
      <c r="F713">
        <v>6</v>
      </c>
    </row>
    <row r="714" spans="1:6" x14ac:dyDescent="0.2">
      <c r="A714" s="1" t="s">
        <v>335</v>
      </c>
      <c r="B714">
        <v>165</v>
      </c>
      <c r="C714">
        <v>11</v>
      </c>
      <c r="D714" t="s">
        <v>364</v>
      </c>
      <c r="E714" t="s">
        <v>365</v>
      </c>
      <c r="F714">
        <v>7</v>
      </c>
    </row>
    <row r="715" spans="1:6" x14ac:dyDescent="0.2">
      <c r="A715" s="1" t="s">
        <v>335</v>
      </c>
      <c r="B715">
        <v>242</v>
      </c>
      <c r="C715">
        <v>87</v>
      </c>
      <c r="D715" t="s">
        <v>364</v>
      </c>
      <c r="E715">
        <v>6</v>
      </c>
      <c r="F715">
        <v>6</v>
      </c>
    </row>
    <row r="716" spans="1:6" x14ac:dyDescent="0.2">
      <c r="A716" s="1" t="s">
        <v>335</v>
      </c>
      <c r="B716">
        <v>247</v>
      </c>
      <c r="C716">
        <v>78</v>
      </c>
      <c r="D716" t="s">
        <v>364</v>
      </c>
      <c r="E716" t="s">
        <v>365</v>
      </c>
      <c r="F716">
        <v>6</v>
      </c>
    </row>
    <row r="717" spans="1:6" x14ac:dyDescent="0.2">
      <c r="A717" s="1" t="s">
        <v>335</v>
      </c>
      <c r="B717">
        <v>239</v>
      </c>
      <c r="C717">
        <v>91</v>
      </c>
      <c r="D717" t="s">
        <v>60</v>
      </c>
      <c r="E717">
        <v>5</v>
      </c>
      <c r="F717">
        <v>5</v>
      </c>
    </row>
    <row r="718" spans="1:6" x14ac:dyDescent="0.2">
      <c r="A718" s="1" t="s">
        <v>335</v>
      </c>
      <c r="B718">
        <v>226</v>
      </c>
      <c r="C718">
        <v>79</v>
      </c>
      <c r="D718" t="s">
        <v>60</v>
      </c>
      <c r="E718" t="s">
        <v>365</v>
      </c>
      <c r="F718">
        <v>7</v>
      </c>
    </row>
    <row r="719" spans="1:6" x14ac:dyDescent="0.2">
      <c r="A719" s="1" t="s">
        <v>335</v>
      </c>
      <c r="B719">
        <v>226</v>
      </c>
      <c r="C719">
        <v>88</v>
      </c>
      <c r="D719" t="s">
        <v>60</v>
      </c>
      <c r="E719" t="s">
        <v>379</v>
      </c>
      <c r="F719">
        <v>16</v>
      </c>
    </row>
    <row r="720" spans="1:6" x14ac:dyDescent="0.2">
      <c r="A720" s="1" t="s">
        <v>335</v>
      </c>
      <c r="B720">
        <v>23</v>
      </c>
      <c r="C720">
        <v>88</v>
      </c>
      <c r="D720" t="s">
        <v>60</v>
      </c>
      <c r="E720" t="s">
        <v>365</v>
      </c>
      <c r="F720">
        <v>3</v>
      </c>
    </row>
    <row r="721" spans="1:6" x14ac:dyDescent="0.2">
      <c r="A721" s="1" t="s">
        <v>335</v>
      </c>
      <c r="B721">
        <v>233</v>
      </c>
      <c r="C721">
        <v>105</v>
      </c>
      <c r="D721" t="s">
        <v>60</v>
      </c>
      <c r="E721">
        <v>1</v>
      </c>
      <c r="F721">
        <v>12</v>
      </c>
    </row>
    <row r="722" spans="1:6" x14ac:dyDescent="0.2">
      <c r="A722" s="1" t="s">
        <v>335</v>
      </c>
      <c r="B722">
        <v>231</v>
      </c>
      <c r="C722">
        <v>77</v>
      </c>
      <c r="D722" t="s">
        <v>364</v>
      </c>
      <c r="E722" t="s">
        <v>365</v>
      </c>
      <c r="F722">
        <v>6</v>
      </c>
    </row>
    <row r="723" spans="1:6" x14ac:dyDescent="0.2">
      <c r="A723" s="1" t="s">
        <v>335</v>
      </c>
      <c r="B723">
        <v>231</v>
      </c>
      <c r="C723">
        <v>77</v>
      </c>
      <c r="D723" t="s">
        <v>364</v>
      </c>
      <c r="E723" t="s">
        <v>365</v>
      </c>
      <c r="F723">
        <v>8</v>
      </c>
    </row>
    <row r="724" spans="1:6" x14ac:dyDescent="0.2">
      <c r="A724" s="1" t="s">
        <v>335</v>
      </c>
      <c r="B724">
        <v>244</v>
      </c>
      <c r="C724">
        <v>77</v>
      </c>
      <c r="D724" t="s">
        <v>364</v>
      </c>
      <c r="E724" t="s">
        <v>365</v>
      </c>
      <c r="F724">
        <v>4</v>
      </c>
    </row>
    <row r="725" spans="1:6" x14ac:dyDescent="0.2">
      <c r="A725" s="1" t="s">
        <v>335</v>
      </c>
      <c r="B725">
        <v>215</v>
      </c>
      <c r="C725">
        <v>80</v>
      </c>
      <c r="D725" t="s">
        <v>60</v>
      </c>
      <c r="E725" t="s">
        <v>365</v>
      </c>
      <c r="F725">
        <v>5</v>
      </c>
    </row>
    <row r="726" spans="1:6" x14ac:dyDescent="0.2">
      <c r="A726" s="1" t="s">
        <v>335</v>
      </c>
      <c r="B726">
        <v>259</v>
      </c>
      <c r="C726">
        <v>62</v>
      </c>
      <c r="D726" t="s">
        <v>364</v>
      </c>
      <c r="E726">
        <v>2</v>
      </c>
      <c r="F726">
        <v>12</v>
      </c>
    </row>
    <row r="727" spans="1:6" x14ac:dyDescent="0.2">
      <c r="A727" s="1" t="s">
        <v>335</v>
      </c>
      <c r="B727">
        <v>270</v>
      </c>
      <c r="C727">
        <v>54</v>
      </c>
      <c r="D727" t="s">
        <v>364</v>
      </c>
      <c r="E727" t="s">
        <v>365</v>
      </c>
      <c r="F727">
        <v>9</v>
      </c>
    </row>
    <row r="728" spans="1:6" x14ac:dyDescent="0.2">
      <c r="A728" s="1" t="s">
        <v>335</v>
      </c>
      <c r="B728">
        <v>270</v>
      </c>
      <c r="C728">
        <v>50</v>
      </c>
      <c r="D728" t="s">
        <v>364</v>
      </c>
      <c r="E728" t="s">
        <v>365</v>
      </c>
      <c r="F728">
        <v>6</v>
      </c>
    </row>
    <row r="729" spans="1:6" x14ac:dyDescent="0.2">
      <c r="A729" s="1" t="s">
        <v>335</v>
      </c>
      <c r="B729">
        <v>270</v>
      </c>
      <c r="C729">
        <v>67</v>
      </c>
      <c r="D729" t="s">
        <v>364</v>
      </c>
      <c r="E729" t="s">
        <v>365</v>
      </c>
      <c r="F729">
        <v>7</v>
      </c>
    </row>
    <row r="730" spans="1:6" x14ac:dyDescent="0.2">
      <c r="A730" s="1" t="s">
        <v>335</v>
      </c>
      <c r="B730">
        <v>277</v>
      </c>
      <c r="C730">
        <v>71</v>
      </c>
      <c r="D730" t="s">
        <v>60</v>
      </c>
      <c r="E730" t="s">
        <v>379</v>
      </c>
      <c r="F730">
        <v>8</v>
      </c>
    </row>
    <row r="731" spans="1:6" x14ac:dyDescent="0.2">
      <c r="A731" s="1" t="s">
        <v>335</v>
      </c>
      <c r="B731">
        <v>310</v>
      </c>
      <c r="C731">
        <v>62</v>
      </c>
      <c r="D731" t="s">
        <v>364</v>
      </c>
      <c r="E731" t="s">
        <v>365</v>
      </c>
      <c r="F731">
        <v>4</v>
      </c>
    </row>
    <row r="732" spans="1:6" x14ac:dyDescent="0.2">
      <c r="A732" s="1" t="s">
        <v>335</v>
      </c>
      <c r="B732">
        <v>306</v>
      </c>
      <c r="C732">
        <v>57</v>
      </c>
      <c r="D732" t="s">
        <v>364</v>
      </c>
      <c r="E732">
        <v>5</v>
      </c>
      <c r="F732">
        <v>10</v>
      </c>
    </row>
    <row r="733" spans="1:6" x14ac:dyDescent="0.2">
      <c r="A733" s="1" t="s">
        <v>335</v>
      </c>
      <c r="B733">
        <v>301</v>
      </c>
      <c r="C733">
        <v>46</v>
      </c>
      <c r="D733" t="s">
        <v>364</v>
      </c>
      <c r="E733">
        <v>1</v>
      </c>
      <c r="F733">
        <v>5</v>
      </c>
    </row>
    <row r="734" spans="1:6" x14ac:dyDescent="0.2">
      <c r="A734" s="1" t="s">
        <v>335</v>
      </c>
      <c r="B734">
        <v>41</v>
      </c>
      <c r="C734">
        <v>58</v>
      </c>
      <c r="D734" t="s">
        <v>60</v>
      </c>
      <c r="E734" t="s">
        <v>365</v>
      </c>
      <c r="F734">
        <v>4</v>
      </c>
    </row>
    <row r="735" spans="1:6" x14ac:dyDescent="0.2">
      <c r="A735" s="1" t="s">
        <v>339</v>
      </c>
      <c r="B735">
        <v>324</v>
      </c>
      <c r="C735">
        <v>31</v>
      </c>
      <c r="D735" t="s">
        <v>364</v>
      </c>
      <c r="E735" t="s">
        <v>365</v>
      </c>
      <c r="F735">
        <v>5</v>
      </c>
    </row>
    <row r="736" spans="1:6" x14ac:dyDescent="0.2">
      <c r="A736" s="1" t="s">
        <v>339</v>
      </c>
      <c r="B736">
        <v>319</v>
      </c>
      <c r="C736">
        <v>33</v>
      </c>
      <c r="D736" t="s">
        <v>364</v>
      </c>
      <c r="E736">
        <v>10</v>
      </c>
      <c r="F736">
        <v>8</v>
      </c>
    </row>
    <row r="737" spans="1:8" x14ac:dyDescent="0.2">
      <c r="A737" s="1" t="s">
        <v>339</v>
      </c>
      <c r="B737">
        <v>239</v>
      </c>
      <c r="C737">
        <v>13</v>
      </c>
      <c r="D737" t="s">
        <v>364</v>
      </c>
      <c r="E737">
        <v>8</v>
      </c>
      <c r="F737">
        <v>9</v>
      </c>
    </row>
    <row r="738" spans="1:8" x14ac:dyDescent="0.2">
      <c r="A738" s="1" t="s">
        <v>339</v>
      </c>
      <c r="B738">
        <v>344</v>
      </c>
      <c r="C738">
        <v>29</v>
      </c>
      <c r="D738" t="s">
        <v>364</v>
      </c>
      <c r="E738" t="s">
        <v>365</v>
      </c>
      <c r="F738">
        <v>13</v>
      </c>
    </row>
    <row r="739" spans="1:8" x14ac:dyDescent="0.2">
      <c r="A739" s="1" t="s">
        <v>339</v>
      </c>
      <c r="B739">
        <v>162</v>
      </c>
      <c r="C739">
        <v>73</v>
      </c>
      <c r="D739" t="s">
        <v>364</v>
      </c>
      <c r="E739">
        <v>10</v>
      </c>
      <c r="F739">
        <v>8</v>
      </c>
    </row>
    <row r="740" spans="1:8" x14ac:dyDescent="0.2">
      <c r="A740" s="1" t="s">
        <v>350</v>
      </c>
      <c r="B740">
        <v>186</v>
      </c>
      <c r="C740">
        <v>48</v>
      </c>
      <c r="D740" t="s">
        <v>364</v>
      </c>
      <c r="E740" t="s">
        <v>365</v>
      </c>
      <c r="F740">
        <v>16</v>
      </c>
    </row>
    <row r="741" spans="1:8" x14ac:dyDescent="0.2">
      <c r="A741" s="1" t="s">
        <v>350</v>
      </c>
      <c r="B741">
        <v>179</v>
      </c>
      <c r="C741">
        <v>53</v>
      </c>
      <c r="D741" t="s">
        <v>373</v>
      </c>
      <c r="E741" t="s">
        <v>365</v>
      </c>
      <c r="F741">
        <v>24</v>
      </c>
    </row>
    <row r="742" spans="1:8" x14ac:dyDescent="0.2">
      <c r="A742" s="1" t="s">
        <v>350</v>
      </c>
      <c r="B742">
        <v>347</v>
      </c>
      <c r="C742">
        <v>49</v>
      </c>
      <c r="D742" t="s">
        <v>404</v>
      </c>
      <c r="G742" t="s">
        <v>408</v>
      </c>
      <c r="H742" s="4"/>
    </row>
    <row r="743" spans="1:8" x14ac:dyDescent="0.2">
      <c r="A743" s="1" t="s">
        <v>353</v>
      </c>
      <c r="B743">
        <v>260</v>
      </c>
      <c r="C743">
        <v>67</v>
      </c>
      <c r="D743" t="s">
        <v>364</v>
      </c>
      <c r="E743">
        <v>2</v>
      </c>
      <c r="F743">
        <v>10</v>
      </c>
    </row>
    <row r="744" spans="1:8" x14ac:dyDescent="0.2">
      <c r="A744" s="1" t="s">
        <v>353</v>
      </c>
      <c r="B744">
        <v>250</v>
      </c>
      <c r="C744">
        <v>67</v>
      </c>
      <c r="D744" t="s">
        <v>60</v>
      </c>
      <c r="E744" t="s">
        <v>365</v>
      </c>
      <c r="F744">
        <v>6</v>
      </c>
    </row>
    <row r="745" spans="1:8" x14ac:dyDescent="0.2">
      <c r="A745" s="1" t="s">
        <v>353</v>
      </c>
      <c r="B745">
        <v>250</v>
      </c>
      <c r="C745">
        <v>73</v>
      </c>
      <c r="D745" t="s">
        <v>364</v>
      </c>
      <c r="E745" t="s">
        <v>365</v>
      </c>
      <c r="F745">
        <v>7</v>
      </c>
    </row>
    <row r="746" spans="1:8" x14ac:dyDescent="0.2">
      <c r="A746" s="1" t="s">
        <v>353</v>
      </c>
      <c r="B746">
        <v>224</v>
      </c>
      <c r="C746">
        <v>66</v>
      </c>
      <c r="D746" t="s">
        <v>364</v>
      </c>
      <c r="E746" t="s">
        <v>365</v>
      </c>
      <c r="F746">
        <v>9</v>
      </c>
    </row>
    <row r="747" spans="1:8" x14ac:dyDescent="0.2">
      <c r="A747" s="1" t="s">
        <v>353</v>
      </c>
      <c r="B747">
        <v>227</v>
      </c>
      <c r="C747">
        <v>66</v>
      </c>
      <c r="D747" t="s">
        <v>364</v>
      </c>
      <c r="E747" t="s">
        <v>365</v>
      </c>
      <c r="F747">
        <v>16</v>
      </c>
    </row>
    <row r="748" spans="1:8" x14ac:dyDescent="0.2">
      <c r="A748" s="1" t="s">
        <v>353</v>
      </c>
      <c r="B748">
        <v>218</v>
      </c>
      <c r="C748">
        <v>60</v>
      </c>
      <c r="D748" t="s">
        <v>364</v>
      </c>
      <c r="E748">
        <v>6</v>
      </c>
      <c r="F748">
        <v>14</v>
      </c>
    </row>
    <row r="749" spans="1:8" x14ac:dyDescent="0.2">
      <c r="A749" s="1" t="s">
        <v>353</v>
      </c>
      <c r="B749">
        <v>218</v>
      </c>
      <c r="C749">
        <v>83</v>
      </c>
      <c r="D749" t="s">
        <v>364</v>
      </c>
      <c r="E749">
        <v>2</v>
      </c>
      <c r="F749">
        <v>12</v>
      </c>
    </row>
    <row r="750" spans="1:8" x14ac:dyDescent="0.2">
      <c r="A750" s="1" t="s">
        <v>353</v>
      </c>
      <c r="B750">
        <v>223</v>
      </c>
      <c r="C750">
        <v>91</v>
      </c>
      <c r="D750" t="s">
        <v>364</v>
      </c>
      <c r="E750">
        <v>2</v>
      </c>
      <c r="F750">
        <v>6</v>
      </c>
    </row>
    <row r="751" spans="1:8" x14ac:dyDescent="0.2">
      <c r="A751" s="1" t="s">
        <v>353</v>
      </c>
      <c r="B751">
        <v>215</v>
      </c>
      <c r="C751">
        <v>65</v>
      </c>
      <c r="D751" t="s">
        <v>364</v>
      </c>
      <c r="E751">
        <v>6</v>
      </c>
      <c r="F751">
        <v>8</v>
      </c>
    </row>
    <row r="752" spans="1:8" x14ac:dyDescent="0.2">
      <c r="A752" s="1" t="s">
        <v>353</v>
      </c>
      <c r="B752">
        <v>244</v>
      </c>
      <c r="C752">
        <v>99</v>
      </c>
      <c r="D752" t="s">
        <v>364</v>
      </c>
      <c r="E752">
        <v>3</v>
      </c>
      <c r="F752">
        <v>10</v>
      </c>
    </row>
    <row r="753" spans="1:6" x14ac:dyDescent="0.2">
      <c r="A753" s="1" t="s">
        <v>353</v>
      </c>
      <c r="B753">
        <v>210</v>
      </c>
      <c r="C753">
        <v>111</v>
      </c>
      <c r="D753" t="s">
        <v>364</v>
      </c>
      <c r="E753">
        <v>4</v>
      </c>
      <c r="F753">
        <v>8</v>
      </c>
    </row>
    <row r="754" spans="1:6" x14ac:dyDescent="0.2">
      <c r="A754" s="1" t="s">
        <v>353</v>
      </c>
      <c r="B754">
        <v>216</v>
      </c>
      <c r="C754">
        <v>106</v>
      </c>
      <c r="D754" t="s">
        <v>364</v>
      </c>
      <c r="E754">
        <v>2</v>
      </c>
      <c r="F754">
        <v>10</v>
      </c>
    </row>
    <row r="755" spans="1:6" x14ac:dyDescent="0.2">
      <c r="A755" s="1" t="s">
        <v>353</v>
      </c>
      <c r="B755">
        <v>209</v>
      </c>
      <c r="C755">
        <v>101</v>
      </c>
      <c r="D755" t="s">
        <v>364</v>
      </c>
      <c r="E755">
        <v>8</v>
      </c>
      <c r="F755">
        <v>10</v>
      </c>
    </row>
    <row r="756" spans="1:6" x14ac:dyDescent="0.2">
      <c r="A756" s="1" t="s">
        <v>353</v>
      </c>
      <c r="B756">
        <v>185</v>
      </c>
      <c r="C756">
        <v>134</v>
      </c>
      <c r="D756" t="s">
        <v>364</v>
      </c>
      <c r="E756" t="s">
        <v>365</v>
      </c>
      <c r="F756">
        <v>5</v>
      </c>
    </row>
    <row r="757" spans="1:6" x14ac:dyDescent="0.2">
      <c r="A757" s="1" t="s">
        <v>353</v>
      </c>
      <c r="B757">
        <v>181</v>
      </c>
      <c r="C757">
        <v>134</v>
      </c>
      <c r="D757" t="s">
        <v>364</v>
      </c>
      <c r="E757">
        <v>2</v>
      </c>
      <c r="F757">
        <v>12</v>
      </c>
    </row>
    <row r="758" spans="1:6" x14ac:dyDescent="0.2">
      <c r="A758" s="1" t="s">
        <v>353</v>
      </c>
      <c r="B758">
        <v>180</v>
      </c>
      <c r="C758">
        <v>131</v>
      </c>
      <c r="D758" t="s">
        <v>364</v>
      </c>
      <c r="E758">
        <v>9</v>
      </c>
      <c r="F758">
        <v>8</v>
      </c>
    </row>
    <row r="759" spans="1:6" x14ac:dyDescent="0.2">
      <c r="A759" s="1" t="s">
        <v>353</v>
      </c>
      <c r="B759">
        <v>174</v>
      </c>
      <c r="C759">
        <v>134</v>
      </c>
      <c r="D759" t="s">
        <v>364</v>
      </c>
      <c r="E759">
        <v>3</v>
      </c>
      <c r="F759">
        <v>10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4"/>
  <sheetViews>
    <sheetView zoomScale="120" zoomScaleNormal="120" workbookViewId="0">
      <selection activeCell="G45" sqref="G45"/>
    </sheetView>
  </sheetViews>
  <sheetFormatPr defaultColWidth="11.5703125" defaultRowHeight="12.75" x14ac:dyDescent="0.2"/>
  <cols>
    <col min="1" max="1" width="9.140625" customWidth="1"/>
    <col min="2" max="3" width="4.7109375" customWidth="1"/>
    <col min="4" max="4" width="6.7109375" customWidth="1"/>
    <col min="5" max="5" width="10.140625" customWidth="1"/>
    <col min="6" max="6" width="6.140625" customWidth="1"/>
    <col min="7" max="7" width="15.140625" customWidth="1"/>
  </cols>
  <sheetData>
    <row r="1" spans="1:7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t="s">
        <v>41</v>
      </c>
    </row>
    <row r="2" spans="1:7" x14ac:dyDescent="0.2">
      <c r="A2" t="s">
        <v>170</v>
      </c>
      <c r="B2">
        <v>10</v>
      </c>
      <c r="C2">
        <v>-2</v>
      </c>
      <c r="D2">
        <v>83</v>
      </c>
      <c r="E2">
        <v>265</v>
      </c>
      <c r="F2" s="1" t="s">
        <v>217</v>
      </c>
      <c r="G2" t="s">
        <v>409</v>
      </c>
    </row>
    <row r="3" spans="1:7" x14ac:dyDescent="0.2">
      <c r="A3" t="s">
        <v>243</v>
      </c>
      <c r="B3">
        <v>12</v>
      </c>
      <c r="C3">
        <v>2</v>
      </c>
      <c r="D3">
        <v>95</v>
      </c>
      <c r="E3">
        <v>0</v>
      </c>
      <c r="F3">
        <v>64</v>
      </c>
    </row>
    <row r="4" spans="1:7" x14ac:dyDescent="0.2">
      <c r="A4" t="s">
        <v>214</v>
      </c>
      <c r="B4">
        <v>10</v>
      </c>
      <c r="C4" t="s">
        <v>175</v>
      </c>
      <c r="D4">
        <v>96</v>
      </c>
      <c r="E4">
        <v>264</v>
      </c>
      <c r="F4">
        <v>65</v>
      </c>
    </row>
    <row r="5" spans="1:7" x14ac:dyDescent="0.2">
      <c r="A5" t="s">
        <v>258</v>
      </c>
      <c r="B5">
        <v>22</v>
      </c>
      <c r="C5">
        <v>4</v>
      </c>
      <c r="D5">
        <v>99</v>
      </c>
      <c r="E5">
        <v>10</v>
      </c>
      <c r="F5">
        <v>68</v>
      </c>
      <c r="G5" t="s">
        <v>410</v>
      </c>
    </row>
    <row r="6" spans="1:7" x14ac:dyDescent="0.2">
      <c r="A6" t="s">
        <v>229</v>
      </c>
      <c r="B6">
        <v>20</v>
      </c>
      <c r="C6">
        <v>2</v>
      </c>
      <c r="D6">
        <v>87</v>
      </c>
      <c r="E6">
        <v>267</v>
      </c>
      <c r="F6">
        <v>69</v>
      </c>
    </row>
    <row r="7" spans="1:7" x14ac:dyDescent="0.2">
      <c r="A7" t="s">
        <v>269</v>
      </c>
      <c r="B7">
        <v>16</v>
      </c>
      <c r="C7">
        <v>4</v>
      </c>
      <c r="D7">
        <v>93</v>
      </c>
      <c r="E7">
        <v>91</v>
      </c>
      <c r="F7">
        <v>70</v>
      </c>
    </row>
    <row r="8" spans="1:7" x14ac:dyDescent="0.2">
      <c r="A8" t="s">
        <v>237</v>
      </c>
      <c r="B8">
        <v>16</v>
      </c>
      <c r="C8">
        <v>2</v>
      </c>
      <c r="D8">
        <v>100</v>
      </c>
      <c r="E8">
        <v>266</v>
      </c>
      <c r="F8">
        <v>71</v>
      </c>
    </row>
    <row r="9" spans="1:7" x14ac:dyDescent="0.2">
      <c r="A9" t="s">
        <v>240</v>
      </c>
      <c r="B9">
        <v>14</v>
      </c>
      <c r="C9">
        <v>2</v>
      </c>
      <c r="D9">
        <v>82</v>
      </c>
      <c r="E9">
        <v>279</v>
      </c>
      <c r="F9">
        <v>72</v>
      </c>
    </row>
    <row r="10" spans="1:7" x14ac:dyDescent="0.2">
      <c r="A10" t="s">
        <v>247</v>
      </c>
      <c r="B10">
        <v>10</v>
      </c>
      <c r="C10">
        <v>2</v>
      </c>
      <c r="D10">
        <v>101</v>
      </c>
      <c r="E10">
        <v>175</v>
      </c>
      <c r="F10">
        <v>73</v>
      </c>
    </row>
    <row r="11" spans="1:7" x14ac:dyDescent="0.2">
      <c r="A11" t="s">
        <v>298</v>
      </c>
      <c r="B11">
        <v>18</v>
      </c>
      <c r="C11">
        <v>6</v>
      </c>
      <c r="D11">
        <v>89</v>
      </c>
      <c r="E11">
        <v>98</v>
      </c>
      <c r="F11">
        <v>78</v>
      </c>
    </row>
    <row r="12" spans="1:7" x14ac:dyDescent="0.2">
      <c r="A12" t="s">
        <v>298</v>
      </c>
      <c r="B12">
        <v>18</v>
      </c>
      <c r="C12">
        <v>6</v>
      </c>
      <c r="D12">
        <v>90</v>
      </c>
      <c r="E12">
        <v>358</v>
      </c>
      <c r="F12">
        <v>79</v>
      </c>
    </row>
    <row r="13" spans="1:7" x14ac:dyDescent="0.2">
      <c r="A13" s="2" t="s">
        <v>269</v>
      </c>
      <c r="B13" s="2">
        <v>16</v>
      </c>
      <c r="C13" s="2">
        <v>4</v>
      </c>
      <c r="D13" s="2">
        <v>92</v>
      </c>
      <c r="E13" s="2">
        <v>175</v>
      </c>
      <c r="F13">
        <v>80</v>
      </c>
    </row>
    <row r="14" spans="1:7" x14ac:dyDescent="0.2">
      <c r="A14" t="s">
        <v>280</v>
      </c>
      <c r="B14">
        <v>12</v>
      </c>
      <c r="C14">
        <v>4</v>
      </c>
      <c r="D14">
        <v>87</v>
      </c>
      <c r="E14">
        <v>167</v>
      </c>
      <c r="F14">
        <v>81</v>
      </c>
      <c r="G14" t="s">
        <v>410</v>
      </c>
    </row>
    <row r="15" spans="1:7" x14ac:dyDescent="0.2">
      <c r="A15" t="s">
        <v>311</v>
      </c>
      <c r="B15">
        <v>12</v>
      </c>
      <c r="C15">
        <v>6</v>
      </c>
      <c r="D15">
        <v>90</v>
      </c>
      <c r="E15">
        <v>350</v>
      </c>
      <c r="F15">
        <v>82</v>
      </c>
    </row>
    <row r="16" spans="1:7" x14ac:dyDescent="0.2">
      <c r="A16" t="s">
        <v>328</v>
      </c>
      <c r="B16">
        <v>20</v>
      </c>
      <c r="C16">
        <v>8</v>
      </c>
      <c r="D16">
        <v>95</v>
      </c>
      <c r="E16">
        <v>355</v>
      </c>
      <c r="F16">
        <v>87</v>
      </c>
    </row>
    <row r="17" spans="1:7" x14ac:dyDescent="0.2">
      <c r="A17" t="s">
        <v>332</v>
      </c>
      <c r="B17">
        <v>18</v>
      </c>
      <c r="C17">
        <v>8</v>
      </c>
      <c r="D17">
        <v>97</v>
      </c>
      <c r="E17">
        <v>355</v>
      </c>
      <c r="F17">
        <v>88</v>
      </c>
    </row>
    <row r="18" spans="1:7" x14ac:dyDescent="0.2">
      <c r="A18" t="s">
        <v>305</v>
      </c>
      <c r="B18">
        <v>14</v>
      </c>
      <c r="C18">
        <v>6</v>
      </c>
      <c r="D18">
        <v>68</v>
      </c>
      <c r="E18">
        <v>167</v>
      </c>
      <c r="F18">
        <v>89</v>
      </c>
      <c r="G18" t="s">
        <v>410</v>
      </c>
    </row>
    <row r="19" spans="1:7" x14ac:dyDescent="0.2">
      <c r="A19" t="s">
        <v>74</v>
      </c>
      <c r="B19">
        <v>14</v>
      </c>
      <c r="C19">
        <v>-6</v>
      </c>
      <c r="D19">
        <v>108</v>
      </c>
      <c r="E19">
        <v>351</v>
      </c>
      <c r="F19">
        <v>15</v>
      </c>
    </row>
    <row r="20" spans="1:7" x14ac:dyDescent="0.2">
      <c r="A20" t="s">
        <v>101</v>
      </c>
      <c r="B20">
        <v>22</v>
      </c>
      <c r="C20">
        <v>-6</v>
      </c>
      <c r="D20">
        <v>103</v>
      </c>
      <c r="E20">
        <v>264</v>
      </c>
      <c r="F20">
        <v>24</v>
      </c>
      <c r="G20" t="s">
        <v>411</v>
      </c>
    </row>
    <row r="21" spans="1:7" x14ac:dyDescent="0.2">
      <c r="A21" t="s">
        <v>79</v>
      </c>
      <c r="B21">
        <v>10</v>
      </c>
      <c r="C21">
        <v>-6</v>
      </c>
      <c r="D21">
        <v>84</v>
      </c>
      <c r="E21">
        <v>92</v>
      </c>
      <c r="F21">
        <v>16</v>
      </c>
    </row>
    <row r="22" spans="1:7" x14ac:dyDescent="0.2">
      <c r="A22" t="s">
        <v>104</v>
      </c>
      <c r="B22">
        <v>20</v>
      </c>
      <c r="C22">
        <v>-4</v>
      </c>
      <c r="D22">
        <v>79</v>
      </c>
      <c r="E22">
        <v>356</v>
      </c>
      <c r="F22">
        <v>25</v>
      </c>
      <c r="G22" t="s">
        <v>410</v>
      </c>
    </row>
    <row r="23" spans="1:7" x14ac:dyDescent="0.2">
      <c r="A23" t="s">
        <v>118</v>
      </c>
      <c r="B23">
        <v>16</v>
      </c>
      <c r="C23">
        <v>-6</v>
      </c>
      <c r="D23">
        <v>83</v>
      </c>
      <c r="E23">
        <v>198</v>
      </c>
      <c r="F23">
        <v>26</v>
      </c>
      <c r="G23" t="s">
        <v>410</v>
      </c>
    </row>
    <row r="24" spans="1:7" x14ac:dyDescent="0.2">
      <c r="A24" t="s">
        <v>74</v>
      </c>
      <c r="B24">
        <v>14</v>
      </c>
      <c r="C24">
        <v>-6</v>
      </c>
      <c r="D24">
        <v>90</v>
      </c>
      <c r="E24">
        <v>158</v>
      </c>
      <c r="F24">
        <v>27</v>
      </c>
    </row>
    <row r="25" spans="1:7" x14ac:dyDescent="0.2">
      <c r="A25" t="s">
        <v>124</v>
      </c>
      <c r="B25">
        <v>12</v>
      </c>
      <c r="C25">
        <v>-4</v>
      </c>
      <c r="D25">
        <v>74</v>
      </c>
      <c r="E25">
        <v>91</v>
      </c>
      <c r="F25">
        <v>28</v>
      </c>
    </row>
    <row r="26" spans="1:7" x14ac:dyDescent="0.2">
      <c r="A26" t="s">
        <v>75</v>
      </c>
      <c r="B26">
        <v>12</v>
      </c>
      <c r="C26">
        <v>-6</v>
      </c>
      <c r="D26">
        <v>96</v>
      </c>
      <c r="E26">
        <v>264</v>
      </c>
      <c r="F26">
        <v>29</v>
      </c>
    </row>
    <row r="27" spans="1:7" x14ac:dyDescent="0.2">
      <c r="A27" t="s">
        <v>100</v>
      </c>
      <c r="B27">
        <v>22</v>
      </c>
      <c r="C27">
        <v>-4</v>
      </c>
      <c r="D27">
        <v>57</v>
      </c>
      <c r="E27">
        <v>270</v>
      </c>
      <c r="F27">
        <v>37</v>
      </c>
    </row>
    <row r="28" spans="1:7" x14ac:dyDescent="0.2">
      <c r="A28" t="s">
        <v>104</v>
      </c>
      <c r="B28">
        <v>20</v>
      </c>
      <c r="C28">
        <v>-4</v>
      </c>
      <c r="D28">
        <v>93</v>
      </c>
      <c r="E28">
        <v>270</v>
      </c>
      <c r="F28">
        <v>38</v>
      </c>
      <c r="G28" t="s">
        <v>410</v>
      </c>
    </row>
    <row r="29" spans="1:7" x14ac:dyDescent="0.2">
      <c r="A29" t="s">
        <v>108</v>
      </c>
      <c r="B29">
        <v>18</v>
      </c>
      <c r="C29">
        <v>-4</v>
      </c>
      <c r="D29">
        <v>101</v>
      </c>
      <c r="E29">
        <v>270</v>
      </c>
      <c r="F29">
        <v>39</v>
      </c>
    </row>
    <row r="30" spans="1:7" x14ac:dyDescent="0.2">
      <c r="A30" t="s">
        <v>163</v>
      </c>
      <c r="B30">
        <v>14</v>
      </c>
      <c r="C30">
        <v>-2</v>
      </c>
      <c r="D30">
        <v>91</v>
      </c>
      <c r="E30">
        <v>90</v>
      </c>
      <c r="F30">
        <v>40</v>
      </c>
    </row>
    <row r="31" spans="1:7" x14ac:dyDescent="0.2">
      <c r="A31" t="s">
        <v>121</v>
      </c>
      <c r="B31">
        <v>14</v>
      </c>
      <c r="C31">
        <v>-4</v>
      </c>
      <c r="D31">
        <v>87</v>
      </c>
      <c r="E31">
        <v>278</v>
      </c>
      <c r="F31">
        <v>41</v>
      </c>
    </row>
    <row r="32" spans="1:7" x14ac:dyDescent="0.2">
      <c r="A32" t="s">
        <v>124</v>
      </c>
      <c r="B32">
        <v>12</v>
      </c>
      <c r="C32">
        <v>-4</v>
      </c>
      <c r="D32">
        <v>72</v>
      </c>
      <c r="E32">
        <v>252</v>
      </c>
      <c r="F32">
        <v>42</v>
      </c>
    </row>
    <row r="33" spans="1:7" x14ac:dyDescent="0.2">
      <c r="A33" t="s">
        <v>151</v>
      </c>
      <c r="B33">
        <v>22</v>
      </c>
      <c r="C33">
        <v>-2</v>
      </c>
      <c r="D33">
        <v>124</v>
      </c>
      <c r="E33">
        <v>272</v>
      </c>
      <c r="F33">
        <v>50</v>
      </c>
    </row>
    <row r="34" spans="1:7" x14ac:dyDescent="0.2">
      <c r="A34" t="s">
        <v>157</v>
      </c>
      <c r="B34">
        <v>18</v>
      </c>
      <c r="C34">
        <v>-2</v>
      </c>
      <c r="D34">
        <v>89</v>
      </c>
      <c r="E34">
        <v>184</v>
      </c>
      <c r="F34">
        <v>51</v>
      </c>
    </row>
    <row r="35" spans="1:7" x14ac:dyDescent="0.2">
      <c r="A35" t="s">
        <v>160</v>
      </c>
      <c r="B35">
        <v>16</v>
      </c>
      <c r="C35">
        <v>-2</v>
      </c>
      <c r="D35">
        <v>82</v>
      </c>
      <c r="E35">
        <v>187</v>
      </c>
      <c r="F35">
        <v>52</v>
      </c>
    </row>
    <row r="36" spans="1:7" x14ac:dyDescent="0.2">
      <c r="A36" t="s">
        <v>204</v>
      </c>
      <c r="B36">
        <v>16</v>
      </c>
      <c r="C36" t="s">
        <v>175</v>
      </c>
      <c r="D36">
        <v>88</v>
      </c>
      <c r="E36">
        <v>9</v>
      </c>
      <c r="F36">
        <v>53</v>
      </c>
    </row>
    <row r="37" spans="1:7" x14ac:dyDescent="0.2">
      <c r="A37" t="s">
        <v>163</v>
      </c>
      <c r="B37">
        <v>14</v>
      </c>
      <c r="C37">
        <v>-2</v>
      </c>
      <c r="D37">
        <v>87</v>
      </c>
      <c r="E37">
        <v>267</v>
      </c>
      <c r="F37">
        <v>54</v>
      </c>
    </row>
    <row r="38" spans="1:7" x14ac:dyDescent="0.2">
      <c r="A38" t="s">
        <v>166</v>
      </c>
      <c r="B38">
        <v>12</v>
      </c>
      <c r="C38">
        <v>-2</v>
      </c>
      <c r="D38">
        <v>95</v>
      </c>
      <c r="E38">
        <v>269</v>
      </c>
      <c r="F38">
        <v>55</v>
      </c>
    </row>
    <row r="39" spans="1:7" x14ac:dyDescent="0.2">
      <c r="F39">
        <v>56</v>
      </c>
      <c r="G39" t="s">
        <v>410</v>
      </c>
    </row>
    <row r="40" spans="1:7" x14ac:dyDescent="0.2">
      <c r="A40" t="s">
        <v>226</v>
      </c>
      <c r="B40">
        <v>22</v>
      </c>
      <c r="C40">
        <v>2</v>
      </c>
      <c r="D40">
        <v>85</v>
      </c>
      <c r="E40">
        <v>1</v>
      </c>
      <c r="F40">
        <v>59</v>
      </c>
    </row>
    <row r="41" spans="1:7" x14ac:dyDescent="0.2">
      <c r="A41" t="s">
        <v>201</v>
      </c>
      <c r="B41">
        <v>18</v>
      </c>
      <c r="C41" t="s">
        <v>175</v>
      </c>
      <c r="D41">
        <v>107</v>
      </c>
      <c r="E41">
        <v>178</v>
      </c>
      <c r="F41">
        <v>60</v>
      </c>
    </row>
    <row r="42" spans="1:7" x14ac:dyDescent="0.2">
      <c r="A42" t="s">
        <v>233</v>
      </c>
      <c r="B42">
        <v>18</v>
      </c>
      <c r="C42">
        <v>2</v>
      </c>
      <c r="D42">
        <v>91</v>
      </c>
      <c r="E42">
        <v>358</v>
      </c>
      <c r="F42">
        <v>61</v>
      </c>
    </row>
    <row r="43" spans="1:7" x14ac:dyDescent="0.2">
      <c r="A43" t="s">
        <v>207</v>
      </c>
      <c r="B43">
        <v>14</v>
      </c>
      <c r="C43" t="s">
        <v>175</v>
      </c>
      <c r="D43">
        <v>93</v>
      </c>
      <c r="E43">
        <v>178</v>
      </c>
      <c r="F43">
        <v>62</v>
      </c>
    </row>
    <row r="44" spans="1:7" x14ac:dyDescent="0.2">
      <c r="A44" t="s">
        <v>207</v>
      </c>
      <c r="B44">
        <v>14</v>
      </c>
      <c r="C44" t="s">
        <v>175</v>
      </c>
      <c r="D44">
        <v>87</v>
      </c>
      <c r="E44">
        <v>268</v>
      </c>
      <c r="F44">
        <v>63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3"/>
  <sheetViews>
    <sheetView topLeftCell="A4" zoomScale="120" zoomScaleNormal="120" workbookViewId="0">
      <selection activeCell="G25" sqref="G25"/>
    </sheetView>
  </sheetViews>
  <sheetFormatPr defaultColWidth="11.5703125" defaultRowHeight="12.75" x14ac:dyDescent="0.2"/>
  <sheetData>
    <row r="1" spans="1:7" x14ac:dyDescent="0.2">
      <c r="A1" s="1" t="s">
        <v>0</v>
      </c>
      <c r="B1" t="s">
        <v>355</v>
      </c>
      <c r="C1" t="s">
        <v>356</v>
      </c>
      <c r="D1" t="s">
        <v>359</v>
      </c>
      <c r="E1" t="s">
        <v>360</v>
      </c>
      <c r="F1" t="s">
        <v>362</v>
      </c>
      <c r="G1" t="s">
        <v>363</v>
      </c>
    </row>
    <row r="2" spans="1:7" x14ac:dyDescent="0.2">
      <c r="A2" s="1" t="s">
        <v>42</v>
      </c>
      <c r="E2" t="s">
        <v>412</v>
      </c>
      <c r="F2" t="s">
        <v>367</v>
      </c>
      <c r="G2" t="s">
        <v>369</v>
      </c>
    </row>
    <row r="3" spans="1:7" x14ac:dyDescent="0.2">
      <c r="A3" s="1" t="s">
        <v>42</v>
      </c>
      <c r="E3" t="s">
        <v>412</v>
      </c>
      <c r="F3" t="s">
        <v>367</v>
      </c>
      <c r="G3" t="s">
        <v>369</v>
      </c>
    </row>
    <row r="4" spans="1:7" x14ac:dyDescent="0.2">
      <c r="A4" s="1" t="s">
        <v>49</v>
      </c>
      <c r="E4" t="s">
        <v>412</v>
      </c>
      <c r="F4" t="s">
        <v>367</v>
      </c>
      <c r="G4" t="s">
        <v>369</v>
      </c>
    </row>
    <row r="5" spans="1:7" x14ac:dyDescent="0.2">
      <c r="A5" s="1" t="s">
        <v>49</v>
      </c>
      <c r="E5" t="s">
        <v>412</v>
      </c>
      <c r="F5" t="s">
        <v>367</v>
      </c>
      <c r="G5" t="s">
        <v>372</v>
      </c>
    </row>
    <row r="6" spans="1:7" x14ac:dyDescent="0.2">
      <c r="A6" s="1" t="s">
        <v>49</v>
      </c>
      <c r="E6" t="s">
        <v>412</v>
      </c>
      <c r="F6" t="s">
        <v>367</v>
      </c>
      <c r="G6" t="s">
        <v>381</v>
      </c>
    </row>
    <row r="7" spans="1:7" x14ac:dyDescent="0.2">
      <c r="A7" s="1" t="s">
        <v>49</v>
      </c>
      <c r="E7" t="s">
        <v>412</v>
      </c>
      <c r="F7" t="s">
        <v>367</v>
      </c>
      <c r="G7" t="s">
        <v>378</v>
      </c>
    </row>
    <row r="8" spans="1:7" x14ac:dyDescent="0.2">
      <c r="A8" s="1" t="s">
        <v>49</v>
      </c>
      <c r="E8" t="s">
        <v>412</v>
      </c>
      <c r="F8" t="s">
        <v>367</v>
      </c>
      <c r="G8" t="s">
        <v>378</v>
      </c>
    </row>
    <row r="9" spans="1:7" x14ac:dyDescent="0.2">
      <c r="A9" s="1" t="s">
        <v>49</v>
      </c>
      <c r="E9" t="s">
        <v>412</v>
      </c>
      <c r="F9" t="s">
        <v>367</v>
      </c>
    </row>
    <row r="10" spans="1:7" x14ac:dyDescent="0.2">
      <c r="A10" s="1" t="s">
        <v>54</v>
      </c>
      <c r="E10" t="s">
        <v>412</v>
      </c>
      <c r="F10" t="s">
        <v>367</v>
      </c>
      <c r="G10" t="s">
        <v>388</v>
      </c>
    </row>
    <row r="11" spans="1:7" x14ac:dyDescent="0.2">
      <c r="A11" s="1" t="s">
        <v>54</v>
      </c>
      <c r="E11" t="s">
        <v>412</v>
      </c>
      <c r="F11" t="s">
        <v>367</v>
      </c>
    </row>
    <row r="12" spans="1:7" x14ac:dyDescent="0.2">
      <c r="A12" s="1" t="s">
        <v>54</v>
      </c>
      <c r="E12" t="s">
        <v>412</v>
      </c>
      <c r="F12" t="s">
        <v>367</v>
      </c>
    </row>
    <row r="13" spans="1:7" x14ac:dyDescent="0.2">
      <c r="A13" s="1" t="s">
        <v>413</v>
      </c>
      <c r="F13" t="s">
        <v>383</v>
      </c>
      <c r="G13" t="s">
        <v>385</v>
      </c>
    </row>
    <row r="14" spans="1:7" x14ac:dyDescent="0.2">
      <c r="A14" s="1" t="s">
        <v>413</v>
      </c>
      <c r="F14" t="s">
        <v>383</v>
      </c>
      <c r="G14" t="s">
        <v>387</v>
      </c>
    </row>
    <row r="15" spans="1:7" x14ac:dyDescent="0.2">
      <c r="A15" s="1" t="s">
        <v>58</v>
      </c>
      <c r="F15" t="s">
        <v>383</v>
      </c>
      <c r="G15" t="s">
        <v>414</v>
      </c>
    </row>
    <row r="16" spans="1:7" x14ac:dyDescent="0.2">
      <c r="A16" s="1" t="s">
        <v>58</v>
      </c>
      <c r="F16" t="s">
        <v>383</v>
      </c>
      <c r="G16" t="s">
        <v>414</v>
      </c>
    </row>
    <row r="17" spans="1:7" x14ac:dyDescent="0.2">
      <c r="A17" s="1" t="s">
        <v>58</v>
      </c>
      <c r="F17" t="s">
        <v>383</v>
      </c>
      <c r="G17" t="s">
        <v>414</v>
      </c>
    </row>
    <row r="18" spans="1:7" x14ac:dyDescent="0.2">
      <c r="A18" s="1" t="s">
        <v>68</v>
      </c>
      <c r="F18" t="s">
        <v>383</v>
      </c>
      <c r="G18" t="s">
        <v>415</v>
      </c>
    </row>
    <row r="19" spans="1:7" x14ac:dyDescent="0.2">
      <c r="A19" s="1" t="s">
        <v>68</v>
      </c>
      <c r="F19" t="s">
        <v>383</v>
      </c>
      <c r="G19" t="s">
        <v>415</v>
      </c>
    </row>
    <row r="20" spans="1:7" x14ac:dyDescent="0.2">
      <c r="A20" s="1" t="s">
        <v>68</v>
      </c>
      <c r="F20" t="s">
        <v>383</v>
      </c>
      <c r="G20" t="s">
        <v>415</v>
      </c>
    </row>
    <row r="21" spans="1:7" x14ac:dyDescent="0.2">
      <c r="A21" s="1" t="s">
        <v>68</v>
      </c>
      <c r="F21" t="s">
        <v>383</v>
      </c>
      <c r="G21" t="s">
        <v>415</v>
      </c>
    </row>
    <row r="22" spans="1:7" x14ac:dyDescent="0.2">
      <c r="A22" s="1" t="s">
        <v>68</v>
      </c>
      <c r="F22" t="s">
        <v>383</v>
      </c>
      <c r="G22" t="s">
        <v>415</v>
      </c>
    </row>
    <row r="23" spans="1:7" x14ac:dyDescent="0.2">
      <c r="A23" s="1" t="s">
        <v>416</v>
      </c>
      <c r="F23" t="s">
        <v>417</v>
      </c>
      <c r="G23" t="s">
        <v>418</v>
      </c>
    </row>
    <row r="24" spans="1:7" x14ac:dyDescent="0.2">
      <c r="A24" s="1" t="s">
        <v>419</v>
      </c>
      <c r="F24" t="s">
        <v>417</v>
      </c>
      <c r="G24" t="s">
        <v>420</v>
      </c>
    </row>
    <row r="25" spans="1:7" x14ac:dyDescent="0.2">
      <c r="A25" s="1" t="s">
        <v>419</v>
      </c>
      <c r="F25" t="s">
        <v>417</v>
      </c>
      <c r="G25" t="s">
        <v>420</v>
      </c>
    </row>
    <row r="26" spans="1:7" x14ac:dyDescent="0.2">
      <c r="A26">
        <v>15</v>
      </c>
      <c r="B26">
        <v>119</v>
      </c>
      <c r="C26">
        <v>96</v>
      </c>
      <c r="D26">
        <v>8</v>
      </c>
      <c r="F26" t="s">
        <v>391</v>
      </c>
    </row>
    <row r="27" spans="1:7" x14ac:dyDescent="0.2">
      <c r="A27">
        <v>16</v>
      </c>
      <c r="B27">
        <v>281</v>
      </c>
      <c r="C27">
        <v>112</v>
      </c>
      <c r="D27">
        <v>14</v>
      </c>
    </row>
    <row r="28" spans="1:7" x14ac:dyDescent="0.2">
      <c r="A28">
        <v>16</v>
      </c>
      <c r="B28">
        <v>284</v>
      </c>
      <c r="C28">
        <v>121</v>
      </c>
      <c r="D28">
        <v>12</v>
      </c>
    </row>
    <row r="29" spans="1:7" x14ac:dyDescent="0.2">
      <c r="A29">
        <v>16</v>
      </c>
      <c r="B29">
        <v>301</v>
      </c>
      <c r="C29">
        <v>73</v>
      </c>
      <c r="D29">
        <v>14</v>
      </c>
    </row>
    <row r="30" spans="1:7" x14ac:dyDescent="0.2">
      <c r="A30">
        <v>16</v>
      </c>
      <c r="B30">
        <v>299</v>
      </c>
      <c r="C30">
        <v>67</v>
      </c>
      <c r="D30">
        <v>9</v>
      </c>
    </row>
    <row r="31" spans="1:7" x14ac:dyDescent="0.2">
      <c r="A31">
        <v>16</v>
      </c>
      <c r="B31">
        <v>20</v>
      </c>
      <c r="C31">
        <v>38</v>
      </c>
      <c r="D31">
        <v>17</v>
      </c>
    </row>
    <row r="32" spans="1:7" x14ac:dyDescent="0.2">
      <c r="A32">
        <v>16</v>
      </c>
      <c r="B32">
        <v>98</v>
      </c>
      <c r="C32">
        <v>47</v>
      </c>
      <c r="D32">
        <v>10</v>
      </c>
      <c r="E32" t="s">
        <v>421</v>
      </c>
    </row>
    <row r="33" spans="1:5" x14ac:dyDescent="0.2">
      <c r="A33">
        <v>27</v>
      </c>
      <c r="B33">
        <v>78</v>
      </c>
      <c r="C33">
        <v>97</v>
      </c>
      <c r="D33">
        <v>17</v>
      </c>
    </row>
    <row r="34" spans="1:5" x14ac:dyDescent="0.2">
      <c r="A34">
        <v>27</v>
      </c>
      <c r="B34">
        <v>34</v>
      </c>
      <c r="C34">
        <v>110</v>
      </c>
      <c r="D34">
        <v>15</v>
      </c>
    </row>
    <row r="35" spans="1:5" x14ac:dyDescent="0.2">
      <c r="A35">
        <v>27</v>
      </c>
      <c r="B35">
        <v>30</v>
      </c>
      <c r="C35">
        <v>78</v>
      </c>
      <c r="D35">
        <v>14</v>
      </c>
    </row>
    <row r="36" spans="1:5" x14ac:dyDescent="0.2">
      <c r="A36">
        <v>28</v>
      </c>
      <c r="B36">
        <v>216</v>
      </c>
      <c r="C36">
        <v>17</v>
      </c>
      <c r="D36">
        <v>14</v>
      </c>
      <c r="E36" t="s">
        <v>422</v>
      </c>
    </row>
    <row r="37" spans="1:5" x14ac:dyDescent="0.2">
      <c r="A37">
        <v>29</v>
      </c>
      <c r="B37">
        <v>191</v>
      </c>
      <c r="C37">
        <v>3</v>
      </c>
      <c r="D37">
        <v>15</v>
      </c>
    </row>
    <row r="38" spans="1:5" x14ac:dyDescent="0.2">
      <c r="A38">
        <v>29</v>
      </c>
      <c r="B38">
        <v>166</v>
      </c>
      <c r="C38">
        <v>22</v>
      </c>
      <c r="D38">
        <v>15</v>
      </c>
    </row>
    <row r="39" spans="1:5" x14ac:dyDescent="0.2">
      <c r="A39">
        <v>29</v>
      </c>
      <c r="B39">
        <v>143</v>
      </c>
      <c r="C39">
        <v>22</v>
      </c>
      <c r="D39">
        <v>10</v>
      </c>
    </row>
    <row r="40" spans="1:5" x14ac:dyDescent="0.2">
      <c r="A40">
        <v>29</v>
      </c>
      <c r="B40">
        <v>169</v>
      </c>
      <c r="C40">
        <v>40</v>
      </c>
      <c r="D40">
        <v>15</v>
      </c>
    </row>
    <row r="41" spans="1:5" x14ac:dyDescent="0.2">
      <c r="A41">
        <v>29</v>
      </c>
      <c r="B41">
        <v>178</v>
      </c>
      <c r="C41">
        <v>72</v>
      </c>
      <c r="D41">
        <v>18</v>
      </c>
    </row>
    <row r="42" spans="1:5" x14ac:dyDescent="0.2">
      <c r="A42">
        <v>29</v>
      </c>
      <c r="B42">
        <v>199</v>
      </c>
      <c r="C42">
        <v>84</v>
      </c>
      <c r="D42">
        <v>14</v>
      </c>
      <c r="E42" t="s">
        <v>421</v>
      </c>
    </row>
    <row r="43" spans="1:5" x14ac:dyDescent="0.2">
      <c r="A43">
        <v>29</v>
      </c>
      <c r="B43">
        <v>274</v>
      </c>
      <c r="C43">
        <v>55</v>
      </c>
      <c r="D43">
        <v>13</v>
      </c>
    </row>
    <row r="44" spans="1:5" x14ac:dyDescent="0.2">
      <c r="A44">
        <v>29</v>
      </c>
      <c r="B44">
        <v>273</v>
      </c>
      <c r="C44">
        <v>82</v>
      </c>
      <c r="D44">
        <v>10</v>
      </c>
    </row>
    <row r="45" spans="1:5" x14ac:dyDescent="0.2">
      <c r="A45">
        <v>29</v>
      </c>
      <c r="B45">
        <v>270</v>
      </c>
      <c r="C45">
        <v>91</v>
      </c>
      <c r="D45">
        <v>12</v>
      </c>
    </row>
    <row r="46" spans="1:5" x14ac:dyDescent="0.2">
      <c r="A46">
        <v>29</v>
      </c>
      <c r="B46">
        <v>305</v>
      </c>
      <c r="C46">
        <v>36</v>
      </c>
      <c r="D46">
        <v>12</v>
      </c>
    </row>
    <row r="47" spans="1:5" x14ac:dyDescent="0.2">
      <c r="A47">
        <v>29</v>
      </c>
      <c r="B47">
        <v>284</v>
      </c>
      <c r="C47">
        <v>51</v>
      </c>
      <c r="D47">
        <v>8</v>
      </c>
    </row>
    <row r="48" spans="1:5" x14ac:dyDescent="0.2">
      <c r="A48">
        <v>29</v>
      </c>
      <c r="B48">
        <v>288</v>
      </c>
      <c r="C48">
        <v>81</v>
      </c>
      <c r="D48">
        <v>12</v>
      </c>
    </row>
    <row r="49" spans="1:5" x14ac:dyDescent="0.2">
      <c r="A49">
        <v>29</v>
      </c>
      <c r="B49">
        <v>298</v>
      </c>
      <c r="C49">
        <v>81</v>
      </c>
      <c r="D49">
        <v>20</v>
      </c>
    </row>
    <row r="50" spans="1:5" x14ac:dyDescent="0.2">
      <c r="A50">
        <v>29</v>
      </c>
      <c r="B50">
        <v>298</v>
      </c>
      <c r="C50">
        <v>80</v>
      </c>
      <c r="D50">
        <v>14</v>
      </c>
    </row>
    <row r="51" spans="1:5" x14ac:dyDescent="0.2">
      <c r="A51">
        <v>29</v>
      </c>
      <c r="B51">
        <v>306</v>
      </c>
      <c r="C51">
        <v>41</v>
      </c>
      <c r="D51">
        <v>6</v>
      </c>
    </row>
    <row r="52" spans="1:5" x14ac:dyDescent="0.2">
      <c r="A52">
        <v>29</v>
      </c>
      <c r="B52">
        <v>305</v>
      </c>
      <c r="C52">
        <v>47</v>
      </c>
      <c r="D52">
        <v>10</v>
      </c>
    </row>
    <row r="53" spans="1:5" x14ac:dyDescent="0.2">
      <c r="A53">
        <v>29</v>
      </c>
      <c r="B53">
        <v>311</v>
      </c>
      <c r="C53">
        <v>46</v>
      </c>
      <c r="D53">
        <v>6</v>
      </c>
    </row>
    <row r="54" spans="1:5" x14ac:dyDescent="0.2">
      <c r="A54">
        <v>29</v>
      </c>
      <c r="B54">
        <v>304</v>
      </c>
      <c r="C54">
        <v>58</v>
      </c>
      <c r="D54">
        <v>12</v>
      </c>
    </row>
    <row r="55" spans="1:5" x14ac:dyDescent="0.2">
      <c r="A55">
        <v>29</v>
      </c>
      <c r="B55">
        <v>303</v>
      </c>
      <c r="C55">
        <v>76</v>
      </c>
      <c r="D55">
        <v>22</v>
      </c>
    </row>
    <row r="56" spans="1:5" x14ac:dyDescent="0.2">
      <c r="A56">
        <v>29</v>
      </c>
      <c r="B56">
        <v>324</v>
      </c>
      <c r="C56">
        <v>54</v>
      </c>
      <c r="D56">
        <v>13</v>
      </c>
    </row>
    <row r="57" spans="1:5" x14ac:dyDescent="0.2">
      <c r="A57">
        <v>29</v>
      </c>
      <c r="B57">
        <v>323</v>
      </c>
      <c r="C57">
        <v>29</v>
      </c>
      <c r="D57">
        <v>12</v>
      </c>
    </row>
    <row r="58" spans="1:5" x14ac:dyDescent="0.2">
      <c r="A58">
        <v>29</v>
      </c>
      <c r="B58">
        <v>348</v>
      </c>
      <c r="C58">
        <v>84</v>
      </c>
      <c r="D58">
        <v>14</v>
      </c>
    </row>
    <row r="59" spans="1:5" x14ac:dyDescent="0.2">
      <c r="A59">
        <v>29</v>
      </c>
      <c r="B59">
        <v>344</v>
      </c>
      <c r="C59">
        <v>103</v>
      </c>
      <c r="D59">
        <v>14</v>
      </c>
    </row>
    <row r="60" spans="1:5" x14ac:dyDescent="0.2">
      <c r="A60">
        <v>29</v>
      </c>
      <c r="B60">
        <v>355</v>
      </c>
      <c r="C60">
        <v>80</v>
      </c>
      <c r="D60">
        <v>10</v>
      </c>
    </row>
    <row r="61" spans="1:5" x14ac:dyDescent="0.2">
      <c r="A61">
        <v>29</v>
      </c>
      <c r="B61">
        <v>18</v>
      </c>
      <c r="C61">
        <v>46</v>
      </c>
      <c r="D61">
        <v>13</v>
      </c>
    </row>
    <row r="62" spans="1:5" x14ac:dyDescent="0.2">
      <c r="A62">
        <v>29</v>
      </c>
      <c r="B62">
        <v>2</v>
      </c>
      <c r="C62">
        <v>65</v>
      </c>
      <c r="D62">
        <v>18</v>
      </c>
    </row>
    <row r="63" spans="1:5" x14ac:dyDescent="0.2">
      <c r="A63">
        <v>29</v>
      </c>
      <c r="B63">
        <v>12</v>
      </c>
      <c r="C63">
        <v>69</v>
      </c>
      <c r="D63">
        <v>8</v>
      </c>
      <c r="E63" t="s">
        <v>421</v>
      </c>
    </row>
    <row r="64" spans="1:5" x14ac:dyDescent="0.2">
      <c r="A64">
        <v>29</v>
      </c>
      <c r="B64">
        <v>36</v>
      </c>
      <c r="C64">
        <v>64</v>
      </c>
      <c r="D64">
        <v>14</v>
      </c>
    </row>
    <row r="65" spans="1:5" x14ac:dyDescent="0.2">
      <c r="A65">
        <v>29</v>
      </c>
      <c r="B65">
        <v>74</v>
      </c>
      <c r="C65">
        <v>20</v>
      </c>
      <c r="D65">
        <v>6</v>
      </c>
      <c r="E65" t="s">
        <v>421</v>
      </c>
    </row>
    <row r="66" spans="1:5" x14ac:dyDescent="0.2">
      <c r="A66">
        <v>37</v>
      </c>
      <c r="B66">
        <v>318</v>
      </c>
      <c r="C66">
        <v>27</v>
      </c>
      <c r="D66">
        <v>22</v>
      </c>
    </row>
    <row r="67" spans="1:5" x14ac:dyDescent="0.2">
      <c r="A67">
        <v>37</v>
      </c>
      <c r="B67">
        <v>160</v>
      </c>
      <c r="C67">
        <v>19</v>
      </c>
      <c r="D67">
        <v>18</v>
      </c>
    </row>
    <row r="68" spans="1:5" x14ac:dyDescent="0.2">
      <c r="A68">
        <v>37</v>
      </c>
      <c r="B68">
        <v>279</v>
      </c>
      <c r="C68">
        <v>37</v>
      </c>
      <c r="D68">
        <v>16</v>
      </c>
    </row>
    <row r="69" spans="1:5" x14ac:dyDescent="0.2">
      <c r="A69">
        <v>39</v>
      </c>
      <c r="B69">
        <v>290</v>
      </c>
      <c r="C69">
        <v>54</v>
      </c>
      <c r="D69">
        <v>14</v>
      </c>
    </row>
    <row r="70" spans="1:5" x14ac:dyDescent="0.2">
      <c r="A70">
        <v>40</v>
      </c>
      <c r="B70">
        <v>294</v>
      </c>
      <c r="C70">
        <v>33</v>
      </c>
      <c r="D70">
        <v>18</v>
      </c>
    </row>
    <row r="71" spans="1:5" x14ac:dyDescent="0.2">
      <c r="A71">
        <v>40</v>
      </c>
      <c r="B71">
        <v>349</v>
      </c>
      <c r="C71">
        <v>66</v>
      </c>
      <c r="D71">
        <v>14</v>
      </c>
    </row>
    <row r="72" spans="1:5" x14ac:dyDescent="0.2">
      <c r="A72">
        <v>40</v>
      </c>
      <c r="B72">
        <v>337</v>
      </c>
      <c r="C72">
        <v>32</v>
      </c>
      <c r="D72">
        <v>18</v>
      </c>
    </row>
    <row r="73" spans="1:5" x14ac:dyDescent="0.2">
      <c r="A73">
        <v>41</v>
      </c>
      <c r="B73">
        <v>217</v>
      </c>
      <c r="C73">
        <v>48</v>
      </c>
      <c r="D73">
        <v>10</v>
      </c>
    </row>
    <row r="74" spans="1:5" x14ac:dyDescent="0.2">
      <c r="A74">
        <v>41</v>
      </c>
      <c r="B74">
        <v>200</v>
      </c>
      <c r="C74">
        <v>46</v>
      </c>
      <c r="D74">
        <v>12</v>
      </c>
    </row>
    <row r="75" spans="1:5" x14ac:dyDescent="0.2">
      <c r="A75">
        <v>41</v>
      </c>
      <c r="B75">
        <v>191</v>
      </c>
      <c r="C75">
        <v>90</v>
      </c>
      <c r="D75">
        <v>8</v>
      </c>
    </row>
    <row r="76" spans="1:5" x14ac:dyDescent="0.2">
      <c r="A76">
        <v>41</v>
      </c>
      <c r="B76">
        <v>168</v>
      </c>
      <c r="C76">
        <v>58</v>
      </c>
      <c r="D76">
        <v>13</v>
      </c>
    </row>
    <row r="77" spans="1:5" x14ac:dyDescent="0.2">
      <c r="A77">
        <v>41</v>
      </c>
      <c r="B77">
        <v>154</v>
      </c>
      <c r="C77">
        <v>39</v>
      </c>
      <c r="D77">
        <v>12</v>
      </c>
    </row>
    <row r="78" spans="1:5" x14ac:dyDescent="0.2">
      <c r="A78">
        <v>41</v>
      </c>
      <c r="B78">
        <v>0</v>
      </c>
      <c r="C78">
        <v>39</v>
      </c>
      <c r="D78">
        <v>14</v>
      </c>
    </row>
    <row r="79" spans="1:5" x14ac:dyDescent="0.2">
      <c r="A79">
        <v>42</v>
      </c>
      <c r="B79">
        <v>310</v>
      </c>
      <c r="C79">
        <v>95</v>
      </c>
      <c r="D79">
        <v>13</v>
      </c>
    </row>
    <row r="80" spans="1:5" x14ac:dyDescent="0.2">
      <c r="A80">
        <v>42</v>
      </c>
      <c r="B80">
        <v>317</v>
      </c>
      <c r="C80">
        <v>84</v>
      </c>
      <c r="D80">
        <v>7</v>
      </c>
    </row>
    <row r="81" spans="1:5" x14ac:dyDescent="0.2">
      <c r="A81">
        <v>42</v>
      </c>
      <c r="B81">
        <v>263</v>
      </c>
      <c r="C81">
        <v>10</v>
      </c>
      <c r="D81">
        <v>12</v>
      </c>
    </row>
    <row r="82" spans="1:5" x14ac:dyDescent="0.2">
      <c r="A82">
        <v>42</v>
      </c>
      <c r="B82">
        <v>312</v>
      </c>
      <c r="C82">
        <v>67</v>
      </c>
      <c r="D82">
        <v>19</v>
      </c>
    </row>
    <row r="83" spans="1:5" x14ac:dyDescent="0.2">
      <c r="A83">
        <v>42</v>
      </c>
      <c r="B83">
        <v>325</v>
      </c>
      <c r="C83">
        <v>60</v>
      </c>
      <c r="D83">
        <v>15</v>
      </c>
    </row>
    <row r="84" spans="1:5" x14ac:dyDescent="0.2">
      <c r="A84">
        <v>42</v>
      </c>
      <c r="B84">
        <v>323</v>
      </c>
      <c r="C84">
        <v>86</v>
      </c>
      <c r="D84">
        <v>14</v>
      </c>
    </row>
    <row r="85" spans="1:5" x14ac:dyDescent="0.2">
      <c r="A85">
        <v>42</v>
      </c>
      <c r="B85">
        <v>354</v>
      </c>
      <c r="C85">
        <v>69</v>
      </c>
      <c r="D85">
        <v>22</v>
      </c>
    </row>
    <row r="86" spans="1:5" x14ac:dyDescent="0.2">
      <c r="A86">
        <v>42</v>
      </c>
      <c r="B86">
        <v>14</v>
      </c>
      <c r="C86">
        <v>6</v>
      </c>
      <c r="D86">
        <v>19</v>
      </c>
    </row>
    <row r="87" spans="1:5" x14ac:dyDescent="0.2">
      <c r="A87">
        <v>42</v>
      </c>
      <c r="B87">
        <v>47</v>
      </c>
      <c r="C87">
        <v>44</v>
      </c>
      <c r="D87">
        <v>12</v>
      </c>
    </row>
    <row r="88" spans="1:5" x14ac:dyDescent="0.2">
      <c r="A88">
        <v>42</v>
      </c>
      <c r="B88">
        <v>33</v>
      </c>
      <c r="C88">
        <v>63</v>
      </c>
      <c r="D88">
        <v>10</v>
      </c>
      <c r="E88" t="s">
        <v>421</v>
      </c>
    </row>
    <row r="89" spans="1:5" x14ac:dyDescent="0.2">
      <c r="A89">
        <v>42</v>
      </c>
      <c r="B89">
        <v>92</v>
      </c>
      <c r="C89">
        <v>29</v>
      </c>
      <c r="D89">
        <v>12</v>
      </c>
    </row>
    <row r="90" spans="1:5" x14ac:dyDescent="0.2">
      <c r="A90">
        <v>50</v>
      </c>
      <c r="B90">
        <v>37</v>
      </c>
      <c r="C90">
        <v>94</v>
      </c>
      <c r="D90">
        <v>10</v>
      </c>
    </row>
    <row r="91" spans="1:5" x14ac:dyDescent="0.2">
      <c r="A91">
        <v>51</v>
      </c>
      <c r="B91">
        <v>265</v>
      </c>
      <c r="C91">
        <v>81</v>
      </c>
      <c r="D91">
        <v>10</v>
      </c>
    </row>
    <row r="92" spans="1:5" x14ac:dyDescent="0.2">
      <c r="A92">
        <v>51</v>
      </c>
      <c r="B92">
        <v>334</v>
      </c>
      <c r="C92">
        <v>51</v>
      </c>
      <c r="D92">
        <v>12</v>
      </c>
    </row>
    <row r="93" spans="1:5" x14ac:dyDescent="0.2">
      <c r="A93">
        <v>51</v>
      </c>
      <c r="B93">
        <v>256</v>
      </c>
      <c r="C93">
        <v>56</v>
      </c>
      <c r="D93">
        <v>16</v>
      </c>
    </row>
    <row r="94" spans="1:5" x14ac:dyDescent="0.2">
      <c r="A94">
        <v>51</v>
      </c>
      <c r="B94">
        <v>244</v>
      </c>
      <c r="C94">
        <v>64</v>
      </c>
      <c r="D94">
        <v>14</v>
      </c>
    </row>
    <row r="95" spans="1:5" x14ac:dyDescent="0.2">
      <c r="A95">
        <v>51</v>
      </c>
      <c r="B95">
        <v>182</v>
      </c>
      <c r="C95">
        <v>84</v>
      </c>
      <c r="D95">
        <v>8</v>
      </c>
    </row>
    <row r="96" spans="1:5" x14ac:dyDescent="0.2">
      <c r="A96">
        <v>51</v>
      </c>
      <c r="B96">
        <v>60</v>
      </c>
      <c r="C96">
        <v>23</v>
      </c>
      <c r="D96">
        <v>14</v>
      </c>
    </row>
    <row r="97" spans="1:5" x14ac:dyDescent="0.2">
      <c r="A97">
        <v>52</v>
      </c>
      <c r="B97">
        <v>173</v>
      </c>
      <c r="C97">
        <v>54</v>
      </c>
      <c r="D97">
        <v>14</v>
      </c>
    </row>
    <row r="98" spans="1:5" x14ac:dyDescent="0.2">
      <c r="A98">
        <v>52</v>
      </c>
      <c r="B98">
        <v>180</v>
      </c>
      <c r="C98">
        <v>63</v>
      </c>
      <c r="D98">
        <v>16</v>
      </c>
    </row>
    <row r="99" spans="1:5" x14ac:dyDescent="0.2">
      <c r="A99">
        <v>52</v>
      </c>
      <c r="B99">
        <v>169</v>
      </c>
      <c r="C99">
        <v>72</v>
      </c>
      <c r="D99">
        <v>14</v>
      </c>
    </row>
    <row r="100" spans="1:5" x14ac:dyDescent="0.2">
      <c r="A100">
        <v>52</v>
      </c>
      <c r="B100">
        <v>167</v>
      </c>
      <c r="C100">
        <v>85</v>
      </c>
      <c r="D100">
        <v>6</v>
      </c>
    </row>
    <row r="101" spans="1:5" x14ac:dyDescent="0.2">
      <c r="A101">
        <v>52</v>
      </c>
      <c r="B101">
        <v>159</v>
      </c>
      <c r="C101">
        <v>80</v>
      </c>
      <c r="D101">
        <v>12</v>
      </c>
      <c r="E101" t="s">
        <v>421</v>
      </c>
    </row>
    <row r="102" spans="1:5" x14ac:dyDescent="0.2">
      <c r="A102">
        <v>52</v>
      </c>
      <c r="B102">
        <v>145</v>
      </c>
      <c r="C102">
        <v>37</v>
      </c>
      <c r="D102">
        <v>10</v>
      </c>
    </row>
    <row r="103" spans="1:5" x14ac:dyDescent="0.2">
      <c r="A103">
        <v>52</v>
      </c>
      <c r="B103">
        <v>149</v>
      </c>
      <c r="C103">
        <v>38</v>
      </c>
      <c r="D103">
        <v>10</v>
      </c>
    </row>
    <row r="104" spans="1:5" x14ac:dyDescent="0.2">
      <c r="A104">
        <v>52</v>
      </c>
      <c r="B104">
        <v>128</v>
      </c>
      <c r="C104">
        <v>63</v>
      </c>
      <c r="D104">
        <v>14</v>
      </c>
    </row>
    <row r="105" spans="1:5" x14ac:dyDescent="0.2">
      <c r="A105">
        <v>52</v>
      </c>
      <c r="B105">
        <v>129</v>
      </c>
      <c r="C105">
        <v>63</v>
      </c>
      <c r="D105">
        <v>6</v>
      </c>
    </row>
    <row r="106" spans="1:5" x14ac:dyDescent="0.2">
      <c r="A106">
        <v>52</v>
      </c>
      <c r="B106">
        <v>110</v>
      </c>
      <c r="C106">
        <v>90</v>
      </c>
      <c r="D106">
        <v>20</v>
      </c>
    </row>
    <row r="107" spans="1:5" x14ac:dyDescent="0.2">
      <c r="A107">
        <v>52</v>
      </c>
      <c r="B107">
        <v>70</v>
      </c>
      <c r="C107">
        <v>51</v>
      </c>
      <c r="D107">
        <v>12</v>
      </c>
    </row>
    <row r="108" spans="1:5" x14ac:dyDescent="0.2">
      <c r="A108">
        <v>52</v>
      </c>
      <c r="B108">
        <v>76</v>
      </c>
      <c r="C108">
        <v>61</v>
      </c>
      <c r="D108">
        <v>6</v>
      </c>
    </row>
    <row r="109" spans="1:5" x14ac:dyDescent="0.2">
      <c r="A109">
        <v>53</v>
      </c>
      <c r="B109">
        <v>265</v>
      </c>
      <c r="C109">
        <v>90</v>
      </c>
      <c r="D109">
        <v>12</v>
      </c>
    </row>
    <row r="110" spans="1:5" x14ac:dyDescent="0.2">
      <c r="A110">
        <v>53</v>
      </c>
      <c r="B110">
        <v>301</v>
      </c>
      <c r="C110">
        <v>48</v>
      </c>
      <c r="D110">
        <v>10</v>
      </c>
    </row>
    <row r="111" spans="1:5" x14ac:dyDescent="0.2">
      <c r="A111">
        <v>53</v>
      </c>
      <c r="B111">
        <v>314</v>
      </c>
      <c r="C111">
        <v>71</v>
      </c>
      <c r="D111">
        <v>16</v>
      </c>
    </row>
    <row r="112" spans="1:5" x14ac:dyDescent="0.2">
      <c r="A112">
        <v>53</v>
      </c>
      <c r="B112">
        <v>44</v>
      </c>
      <c r="C112">
        <v>49</v>
      </c>
      <c r="D112">
        <v>14</v>
      </c>
    </row>
    <row r="113" spans="1:5" x14ac:dyDescent="0.2">
      <c r="A113">
        <v>53</v>
      </c>
      <c r="B113">
        <v>55</v>
      </c>
      <c r="C113">
        <v>42</v>
      </c>
      <c r="D113">
        <v>14</v>
      </c>
    </row>
    <row r="114" spans="1:5" x14ac:dyDescent="0.2">
      <c r="A114">
        <v>54</v>
      </c>
      <c r="B114">
        <v>341</v>
      </c>
      <c r="C114">
        <v>13</v>
      </c>
      <c r="D114">
        <v>10</v>
      </c>
    </row>
    <row r="115" spans="1:5" x14ac:dyDescent="0.2">
      <c r="A115">
        <v>54</v>
      </c>
      <c r="B115">
        <v>72</v>
      </c>
      <c r="C115">
        <v>69</v>
      </c>
      <c r="D115">
        <v>8</v>
      </c>
    </row>
    <row r="116" spans="1:5" x14ac:dyDescent="0.2">
      <c r="A116">
        <v>54</v>
      </c>
      <c r="B116">
        <v>10</v>
      </c>
      <c r="C116">
        <v>37</v>
      </c>
      <c r="D116">
        <v>16</v>
      </c>
    </row>
    <row r="117" spans="1:5" x14ac:dyDescent="0.2">
      <c r="A117">
        <v>54</v>
      </c>
      <c r="B117">
        <v>5</v>
      </c>
      <c r="C117">
        <v>31</v>
      </c>
      <c r="D117">
        <v>12</v>
      </c>
    </row>
    <row r="118" spans="1:5" x14ac:dyDescent="0.2">
      <c r="A118">
        <v>54</v>
      </c>
      <c r="B118">
        <v>343</v>
      </c>
      <c r="C118">
        <v>53</v>
      </c>
      <c r="D118">
        <v>10</v>
      </c>
    </row>
    <row r="119" spans="1:5" x14ac:dyDescent="0.2">
      <c r="A119">
        <v>54</v>
      </c>
      <c r="B119">
        <v>315</v>
      </c>
      <c r="C119">
        <v>23</v>
      </c>
      <c r="D119">
        <v>16</v>
      </c>
    </row>
    <row r="120" spans="1:5" x14ac:dyDescent="0.2">
      <c r="A120">
        <v>54</v>
      </c>
      <c r="B120">
        <v>260</v>
      </c>
      <c r="C120">
        <v>66</v>
      </c>
      <c r="D120">
        <v>8</v>
      </c>
    </row>
    <row r="121" spans="1:5" x14ac:dyDescent="0.2">
      <c r="A121">
        <v>54</v>
      </c>
      <c r="B121">
        <v>181</v>
      </c>
      <c r="C121">
        <v>84</v>
      </c>
      <c r="D121">
        <v>10</v>
      </c>
    </row>
    <row r="122" spans="1:5" x14ac:dyDescent="0.2">
      <c r="A122">
        <v>55</v>
      </c>
      <c r="B122">
        <v>52</v>
      </c>
      <c r="C122">
        <v>28</v>
      </c>
      <c r="D122">
        <v>12</v>
      </c>
      <c r="E122" t="s">
        <v>421</v>
      </c>
    </row>
    <row r="123" spans="1:5" x14ac:dyDescent="0.2">
      <c r="A123">
        <v>55</v>
      </c>
      <c r="B123">
        <v>15</v>
      </c>
      <c r="C123">
        <v>21</v>
      </c>
      <c r="D123">
        <v>10</v>
      </c>
    </row>
    <row r="124" spans="1:5" x14ac:dyDescent="0.2">
      <c r="A124">
        <v>55</v>
      </c>
      <c r="B124">
        <v>0</v>
      </c>
      <c r="C124">
        <v>61</v>
      </c>
      <c r="D124">
        <v>14</v>
      </c>
    </row>
    <row r="125" spans="1:5" x14ac:dyDescent="0.2">
      <c r="A125">
        <v>59</v>
      </c>
      <c r="B125">
        <v>196</v>
      </c>
      <c r="C125">
        <v>45</v>
      </c>
      <c r="D125">
        <v>12</v>
      </c>
    </row>
    <row r="126" spans="1:5" x14ac:dyDescent="0.2">
      <c r="A126">
        <v>60</v>
      </c>
      <c r="B126">
        <v>184</v>
      </c>
      <c r="C126">
        <v>89</v>
      </c>
      <c r="D126">
        <v>10</v>
      </c>
    </row>
    <row r="127" spans="1:5" x14ac:dyDescent="0.2">
      <c r="A127">
        <v>60</v>
      </c>
      <c r="B127">
        <v>150</v>
      </c>
      <c r="C127">
        <v>58</v>
      </c>
      <c r="D127">
        <v>8</v>
      </c>
    </row>
    <row r="128" spans="1:5" x14ac:dyDescent="0.2">
      <c r="A128">
        <v>60</v>
      </c>
      <c r="B128">
        <v>143</v>
      </c>
      <c r="C128">
        <v>68</v>
      </c>
      <c r="D128">
        <v>20</v>
      </c>
    </row>
    <row r="129" spans="1:4" x14ac:dyDescent="0.2">
      <c r="A129">
        <v>61</v>
      </c>
      <c r="B129">
        <v>25</v>
      </c>
      <c r="C129">
        <v>70</v>
      </c>
      <c r="D129">
        <v>10</v>
      </c>
    </row>
    <row r="130" spans="1:4" x14ac:dyDescent="0.2">
      <c r="A130">
        <v>61</v>
      </c>
      <c r="B130">
        <v>46</v>
      </c>
      <c r="C130">
        <v>67</v>
      </c>
      <c r="D130">
        <v>10</v>
      </c>
    </row>
    <row r="131" spans="1:4" x14ac:dyDescent="0.2">
      <c r="A131">
        <v>61</v>
      </c>
      <c r="B131">
        <v>45</v>
      </c>
      <c r="C131">
        <v>58</v>
      </c>
      <c r="D131">
        <v>10</v>
      </c>
    </row>
    <row r="132" spans="1:4" x14ac:dyDescent="0.2">
      <c r="A132">
        <v>61</v>
      </c>
      <c r="B132">
        <v>238</v>
      </c>
      <c r="C132">
        <v>68</v>
      </c>
      <c r="D132">
        <v>8</v>
      </c>
    </row>
    <row r="133" spans="1:4" x14ac:dyDescent="0.2">
      <c r="A133">
        <v>61</v>
      </c>
      <c r="B133">
        <v>272</v>
      </c>
      <c r="C133">
        <v>62</v>
      </c>
      <c r="D133">
        <v>6</v>
      </c>
    </row>
    <row r="134" spans="1:4" x14ac:dyDescent="0.2">
      <c r="A134">
        <v>62</v>
      </c>
      <c r="B134">
        <v>11</v>
      </c>
      <c r="C134">
        <v>53</v>
      </c>
      <c r="D134">
        <v>10</v>
      </c>
    </row>
    <row r="135" spans="1:4" x14ac:dyDescent="0.2">
      <c r="A135">
        <v>62</v>
      </c>
      <c r="B135">
        <v>27</v>
      </c>
      <c r="C135">
        <v>64</v>
      </c>
      <c r="D135">
        <v>6</v>
      </c>
    </row>
    <row r="136" spans="1:4" x14ac:dyDescent="0.2">
      <c r="A136">
        <v>63</v>
      </c>
      <c r="B136">
        <v>185</v>
      </c>
      <c r="C136">
        <v>29</v>
      </c>
      <c r="D136">
        <v>20</v>
      </c>
    </row>
    <row r="137" spans="1:4" x14ac:dyDescent="0.2">
      <c r="A137">
        <v>65</v>
      </c>
      <c r="B137">
        <v>51</v>
      </c>
      <c r="C137">
        <v>19</v>
      </c>
      <c r="D137">
        <v>10</v>
      </c>
    </row>
    <row r="138" spans="1:4" x14ac:dyDescent="0.2">
      <c r="A138">
        <v>65</v>
      </c>
      <c r="B138">
        <v>72</v>
      </c>
      <c r="C138">
        <v>4</v>
      </c>
      <c r="D138">
        <v>6</v>
      </c>
    </row>
    <row r="139" spans="1:4" x14ac:dyDescent="0.2">
      <c r="A139">
        <v>65</v>
      </c>
      <c r="B139">
        <v>294</v>
      </c>
      <c r="C139">
        <v>56</v>
      </c>
      <c r="D139">
        <v>8</v>
      </c>
    </row>
    <row r="140" spans="1:4" x14ac:dyDescent="0.2">
      <c r="A140">
        <v>65</v>
      </c>
      <c r="B140">
        <v>294</v>
      </c>
      <c r="C140">
        <v>87</v>
      </c>
      <c r="D140">
        <v>14</v>
      </c>
    </row>
    <row r="141" spans="1:4" x14ac:dyDescent="0.2">
      <c r="A141">
        <v>65</v>
      </c>
      <c r="B141">
        <v>298</v>
      </c>
      <c r="C141">
        <v>69</v>
      </c>
      <c r="D141">
        <v>8</v>
      </c>
    </row>
    <row r="142" spans="1:4" x14ac:dyDescent="0.2">
      <c r="A142">
        <v>65</v>
      </c>
      <c r="B142">
        <v>147</v>
      </c>
      <c r="C142">
        <v>17</v>
      </c>
      <c r="D142">
        <v>12</v>
      </c>
    </row>
    <row r="143" spans="1:4" x14ac:dyDescent="0.2">
      <c r="A143">
        <v>65</v>
      </c>
      <c r="B143">
        <v>163</v>
      </c>
      <c r="C143">
        <v>48</v>
      </c>
      <c r="D143">
        <v>14</v>
      </c>
    </row>
    <row r="144" spans="1:4" x14ac:dyDescent="0.2">
      <c r="A144">
        <v>69</v>
      </c>
      <c r="B144">
        <v>261</v>
      </c>
      <c r="C144">
        <v>72</v>
      </c>
      <c r="D144">
        <v>16</v>
      </c>
    </row>
    <row r="145" spans="1:5" x14ac:dyDescent="0.2">
      <c r="A145">
        <v>69</v>
      </c>
      <c r="B145">
        <v>303</v>
      </c>
      <c r="C145">
        <v>34</v>
      </c>
      <c r="D145">
        <v>16</v>
      </c>
    </row>
    <row r="146" spans="1:5" x14ac:dyDescent="0.2">
      <c r="A146">
        <v>69</v>
      </c>
      <c r="B146">
        <v>59</v>
      </c>
      <c r="C146">
        <v>54</v>
      </c>
      <c r="D146">
        <v>10</v>
      </c>
    </row>
    <row r="147" spans="1:5" x14ac:dyDescent="0.2">
      <c r="A147">
        <v>69</v>
      </c>
      <c r="B147">
        <v>64</v>
      </c>
      <c r="C147">
        <v>33</v>
      </c>
      <c r="D147">
        <v>14</v>
      </c>
    </row>
    <row r="148" spans="1:5" x14ac:dyDescent="0.2">
      <c r="A148">
        <v>69</v>
      </c>
      <c r="B148">
        <v>80</v>
      </c>
      <c r="C148">
        <v>68</v>
      </c>
      <c r="D148">
        <v>12</v>
      </c>
    </row>
    <row r="149" spans="1:5" x14ac:dyDescent="0.2">
      <c r="A149">
        <v>70</v>
      </c>
      <c r="B149">
        <v>317</v>
      </c>
      <c r="C149">
        <v>54</v>
      </c>
      <c r="D149">
        <v>12</v>
      </c>
    </row>
    <row r="150" spans="1:5" x14ac:dyDescent="0.2">
      <c r="A150">
        <v>70</v>
      </c>
      <c r="B150">
        <v>329</v>
      </c>
      <c r="C150">
        <v>41</v>
      </c>
      <c r="D150">
        <v>12</v>
      </c>
      <c r="E150" t="s">
        <v>423</v>
      </c>
    </row>
    <row r="151" spans="1:5" x14ac:dyDescent="0.2">
      <c r="A151">
        <v>70</v>
      </c>
      <c r="B151">
        <v>32</v>
      </c>
      <c r="C151">
        <v>73</v>
      </c>
      <c r="D151">
        <v>10</v>
      </c>
    </row>
    <row r="152" spans="1:5" x14ac:dyDescent="0.2">
      <c r="A152">
        <v>70</v>
      </c>
      <c r="B152">
        <v>137</v>
      </c>
      <c r="C152">
        <v>55</v>
      </c>
      <c r="D152">
        <v>8</v>
      </c>
    </row>
    <row r="153" spans="1:5" x14ac:dyDescent="0.2">
      <c r="A153">
        <v>70</v>
      </c>
      <c r="B153">
        <v>143</v>
      </c>
      <c r="C153">
        <v>63</v>
      </c>
      <c r="D153">
        <v>14</v>
      </c>
    </row>
    <row r="154" spans="1:5" x14ac:dyDescent="0.2">
      <c r="A154">
        <v>70</v>
      </c>
      <c r="B154">
        <v>180</v>
      </c>
      <c r="C154">
        <v>62</v>
      </c>
      <c r="D154">
        <v>16</v>
      </c>
    </row>
    <row r="155" spans="1:5" x14ac:dyDescent="0.2">
      <c r="A155">
        <v>70</v>
      </c>
      <c r="B155">
        <v>185</v>
      </c>
      <c r="C155">
        <v>69</v>
      </c>
      <c r="D155">
        <v>18</v>
      </c>
    </row>
    <row r="156" spans="1:5" x14ac:dyDescent="0.2">
      <c r="A156">
        <v>70</v>
      </c>
      <c r="B156">
        <v>194</v>
      </c>
      <c r="C156">
        <v>70</v>
      </c>
      <c r="D156">
        <v>14</v>
      </c>
    </row>
    <row r="157" spans="1:5" x14ac:dyDescent="0.2">
      <c r="A157">
        <v>71</v>
      </c>
      <c r="B157">
        <v>49</v>
      </c>
      <c r="C157">
        <v>62</v>
      </c>
      <c r="D157">
        <v>12</v>
      </c>
    </row>
    <row r="158" spans="1:5" x14ac:dyDescent="0.2">
      <c r="A158">
        <v>71</v>
      </c>
      <c r="B158">
        <v>52</v>
      </c>
      <c r="C158">
        <v>66</v>
      </c>
      <c r="D158">
        <v>14</v>
      </c>
    </row>
    <row r="159" spans="1:5" x14ac:dyDescent="0.2">
      <c r="A159">
        <v>71</v>
      </c>
      <c r="B159">
        <v>52</v>
      </c>
      <c r="C159">
        <v>64</v>
      </c>
      <c r="D159">
        <v>6</v>
      </c>
    </row>
    <row r="160" spans="1:5" x14ac:dyDescent="0.2">
      <c r="A160">
        <v>71</v>
      </c>
      <c r="B160">
        <v>239</v>
      </c>
      <c r="C160">
        <v>79</v>
      </c>
      <c r="D160">
        <v>14</v>
      </c>
      <c r="E160" t="s">
        <v>424</v>
      </c>
    </row>
    <row r="161" spans="1:5" x14ac:dyDescent="0.2">
      <c r="A161">
        <v>71</v>
      </c>
      <c r="B161">
        <v>180</v>
      </c>
      <c r="C161">
        <v>44</v>
      </c>
      <c r="D161">
        <v>16</v>
      </c>
    </row>
    <row r="162" spans="1:5" x14ac:dyDescent="0.2">
      <c r="A162">
        <v>71</v>
      </c>
      <c r="B162">
        <v>125</v>
      </c>
      <c r="C162">
        <v>12</v>
      </c>
      <c r="D162">
        <v>16</v>
      </c>
    </row>
    <row r="163" spans="1:5" x14ac:dyDescent="0.2">
      <c r="A163">
        <v>71</v>
      </c>
      <c r="B163">
        <v>145</v>
      </c>
      <c r="C163">
        <v>19</v>
      </c>
      <c r="D163">
        <v>14</v>
      </c>
    </row>
    <row r="164" spans="1:5" x14ac:dyDescent="0.2">
      <c r="A164">
        <v>72</v>
      </c>
      <c r="B164">
        <v>351</v>
      </c>
      <c r="C164">
        <v>23</v>
      </c>
      <c r="D164">
        <v>14</v>
      </c>
    </row>
    <row r="165" spans="1:5" x14ac:dyDescent="0.2">
      <c r="A165">
        <v>72</v>
      </c>
      <c r="B165">
        <v>287</v>
      </c>
      <c r="C165">
        <v>50</v>
      </c>
      <c r="D165">
        <v>10</v>
      </c>
      <c r="E165" t="s">
        <v>421</v>
      </c>
    </row>
    <row r="166" spans="1:5" x14ac:dyDescent="0.2">
      <c r="A166">
        <v>72</v>
      </c>
      <c r="B166">
        <v>234</v>
      </c>
      <c r="C166">
        <v>50</v>
      </c>
      <c r="D166">
        <v>12</v>
      </c>
    </row>
    <row r="167" spans="1:5" x14ac:dyDescent="0.2">
      <c r="A167">
        <v>72</v>
      </c>
      <c r="B167">
        <v>235</v>
      </c>
      <c r="C167">
        <v>49</v>
      </c>
      <c r="D167">
        <v>12</v>
      </c>
    </row>
    <row r="168" spans="1:5" x14ac:dyDescent="0.2">
      <c r="A168">
        <v>72</v>
      </c>
      <c r="B168">
        <v>190</v>
      </c>
      <c r="C168">
        <v>69</v>
      </c>
      <c r="D168">
        <v>16</v>
      </c>
    </row>
    <row r="169" spans="1:5" x14ac:dyDescent="0.2">
      <c r="A169">
        <v>73</v>
      </c>
      <c r="B169">
        <v>18</v>
      </c>
      <c r="C169">
        <v>48</v>
      </c>
      <c r="D169">
        <v>14</v>
      </c>
    </row>
    <row r="170" spans="1:5" x14ac:dyDescent="0.2">
      <c r="A170">
        <v>73</v>
      </c>
      <c r="B170">
        <v>317</v>
      </c>
      <c r="C170">
        <v>28</v>
      </c>
      <c r="D170">
        <v>4</v>
      </c>
      <c r="E170" t="s">
        <v>421</v>
      </c>
    </row>
    <row r="171" spans="1:5" x14ac:dyDescent="0.2">
      <c r="A171">
        <v>73</v>
      </c>
      <c r="B171">
        <v>354</v>
      </c>
      <c r="C171">
        <v>100</v>
      </c>
      <c r="D171">
        <v>16</v>
      </c>
    </row>
    <row r="172" spans="1:5" x14ac:dyDescent="0.2">
      <c r="A172">
        <v>73</v>
      </c>
      <c r="B172">
        <v>348</v>
      </c>
      <c r="C172">
        <v>100</v>
      </c>
      <c r="D172">
        <v>16</v>
      </c>
    </row>
    <row r="173" spans="1:5" x14ac:dyDescent="0.2">
      <c r="A173">
        <v>73</v>
      </c>
      <c r="B173">
        <v>346</v>
      </c>
      <c r="C173">
        <v>92</v>
      </c>
      <c r="D173">
        <v>10</v>
      </c>
    </row>
    <row r="174" spans="1:5" x14ac:dyDescent="0.2">
      <c r="A174">
        <v>73</v>
      </c>
      <c r="B174">
        <v>185</v>
      </c>
      <c r="C174">
        <v>41</v>
      </c>
      <c r="D174">
        <v>12</v>
      </c>
    </row>
    <row r="175" spans="1:5" x14ac:dyDescent="0.2">
      <c r="A175">
        <v>73</v>
      </c>
      <c r="B175">
        <v>185</v>
      </c>
      <c r="C175">
        <v>30</v>
      </c>
      <c r="D175">
        <v>12</v>
      </c>
    </row>
    <row r="176" spans="1:5" x14ac:dyDescent="0.2">
      <c r="A176">
        <v>73</v>
      </c>
      <c r="B176">
        <v>123</v>
      </c>
      <c r="C176">
        <v>52</v>
      </c>
      <c r="D176">
        <v>6</v>
      </c>
    </row>
    <row r="177" spans="1:5" x14ac:dyDescent="0.2">
      <c r="A177">
        <v>73</v>
      </c>
      <c r="B177">
        <v>107</v>
      </c>
      <c r="C177">
        <v>23</v>
      </c>
      <c r="D177">
        <v>8</v>
      </c>
      <c r="E177" t="s">
        <v>421</v>
      </c>
    </row>
    <row r="178" spans="1:5" x14ac:dyDescent="0.2">
      <c r="A178">
        <v>73</v>
      </c>
      <c r="B178">
        <v>107</v>
      </c>
      <c r="C178">
        <v>39</v>
      </c>
      <c r="D178">
        <v>12</v>
      </c>
      <c r="E178" t="s">
        <v>421</v>
      </c>
    </row>
    <row r="179" spans="1:5" x14ac:dyDescent="0.2">
      <c r="A179">
        <v>73</v>
      </c>
      <c r="B179">
        <v>76</v>
      </c>
      <c r="C179">
        <v>70</v>
      </c>
      <c r="D179">
        <v>10</v>
      </c>
    </row>
    <row r="180" spans="1:5" x14ac:dyDescent="0.2">
      <c r="A180">
        <v>73</v>
      </c>
      <c r="B180">
        <v>67</v>
      </c>
      <c r="C180">
        <v>61</v>
      </c>
      <c r="D180">
        <v>10</v>
      </c>
      <c r="E180" t="s">
        <v>421</v>
      </c>
    </row>
    <row r="181" spans="1:5" x14ac:dyDescent="0.2">
      <c r="A181">
        <v>77</v>
      </c>
      <c r="B181">
        <v>357</v>
      </c>
      <c r="C181">
        <v>96</v>
      </c>
      <c r="D181">
        <v>16</v>
      </c>
    </row>
    <row r="182" spans="1:5" x14ac:dyDescent="0.2">
      <c r="A182">
        <v>78</v>
      </c>
      <c r="B182">
        <v>9</v>
      </c>
      <c r="C182">
        <v>88</v>
      </c>
      <c r="D182">
        <v>14</v>
      </c>
    </row>
    <row r="183" spans="1:5" x14ac:dyDescent="0.2">
      <c r="A183">
        <v>78</v>
      </c>
      <c r="B183">
        <v>12</v>
      </c>
      <c r="C183">
        <v>88</v>
      </c>
      <c r="D183">
        <v>12</v>
      </c>
    </row>
    <row r="184" spans="1:5" x14ac:dyDescent="0.2">
      <c r="A184">
        <v>78</v>
      </c>
      <c r="B184">
        <v>166</v>
      </c>
      <c r="C184">
        <v>41</v>
      </c>
      <c r="D184">
        <v>10</v>
      </c>
    </row>
    <row r="185" spans="1:5" x14ac:dyDescent="0.2">
      <c r="A185">
        <v>78</v>
      </c>
      <c r="B185">
        <v>169</v>
      </c>
      <c r="C185">
        <v>45</v>
      </c>
      <c r="D185">
        <v>16</v>
      </c>
    </row>
    <row r="186" spans="1:5" x14ac:dyDescent="0.2">
      <c r="A186">
        <v>78</v>
      </c>
      <c r="B186">
        <v>177</v>
      </c>
      <c r="C186">
        <v>61</v>
      </c>
      <c r="D186">
        <v>8</v>
      </c>
    </row>
    <row r="187" spans="1:5" x14ac:dyDescent="0.2">
      <c r="A187">
        <v>78</v>
      </c>
      <c r="B187">
        <v>149</v>
      </c>
      <c r="C187">
        <v>36</v>
      </c>
      <c r="D187">
        <v>8</v>
      </c>
      <c r="E187" t="s">
        <v>421</v>
      </c>
    </row>
    <row r="188" spans="1:5" x14ac:dyDescent="0.2">
      <c r="A188">
        <v>79</v>
      </c>
      <c r="B188">
        <v>56</v>
      </c>
      <c r="C188">
        <v>63</v>
      </c>
      <c r="D188">
        <v>16</v>
      </c>
    </row>
    <row r="189" spans="1:5" x14ac:dyDescent="0.2">
      <c r="A189">
        <v>79</v>
      </c>
      <c r="B189">
        <v>22</v>
      </c>
      <c r="C189">
        <v>30</v>
      </c>
      <c r="D189">
        <v>8</v>
      </c>
    </row>
    <row r="190" spans="1:5" x14ac:dyDescent="0.2">
      <c r="A190">
        <v>79</v>
      </c>
      <c r="B190">
        <v>93</v>
      </c>
      <c r="C190">
        <v>32</v>
      </c>
      <c r="D190">
        <v>10</v>
      </c>
    </row>
    <row r="191" spans="1:5" x14ac:dyDescent="0.2">
      <c r="A191">
        <v>80</v>
      </c>
      <c r="B191">
        <v>26</v>
      </c>
      <c r="C191">
        <v>46</v>
      </c>
      <c r="D191">
        <v>14</v>
      </c>
    </row>
    <row r="192" spans="1:5" x14ac:dyDescent="0.2">
      <c r="A192">
        <v>80</v>
      </c>
      <c r="B192">
        <v>95</v>
      </c>
      <c r="C192">
        <v>57</v>
      </c>
      <c r="D192">
        <v>14</v>
      </c>
    </row>
    <row r="193" spans="1:5" x14ac:dyDescent="0.2">
      <c r="A193">
        <v>80</v>
      </c>
      <c r="B193">
        <v>104</v>
      </c>
      <c r="C193">
        <v>51</v>
      </c>
      <c r="D193">
        <v>14</v>
      </c>
    </row>
    <row r="194" spans="1:5" x14ac:dyDescent="0.2">
      <c r="A194">
        <v>80</v>
      </c>
      <c r="B194">
        <v>272</v>
      </c>
      <c r="C194">
        <v>35</v>
      </c>
      <c r="D194">
        <v>8</v>
      </c>
    </row>
    <row r="195" spans="1:5" x14ac:dyDescent="0.2">
      <c r="A195">
        <v>80</v>
      </c>
      <c r="B195">
        <v>272</v>
      </c>
      <c r="C195">
        <v>36</v>
      </c>
      <c r="D195">
        <v>6</v>
      </c>
    </row>
    <row r="196" spans="1:5" x14ac:dyDescent="0.2">
      <c r="A196">
        <v>82</v>
      </c>
      <c r="B196">
        <v>330</v>
      </c>
      <c r="C196">
        <v>22</v>
      </c>
      <c r="D196">
        <v>6</v>
      </c>
    </row>
    <row r="197" spans="1:5" x14ac:dyDescent="0.2">
      <c r="A197">
        <v>82</v>
      </c>
      <c r="B197">
        <v>329</v>
      </c>
      <c r="C197">
        <v>51</v>
      </c>
      <c r="D197">
        <v>6</v>
      </c>
    </row>
    <row r="198" spans="1:5" x14ac:dyDescent="0.2">
      <c r="A198">
        <v>87</v>
      </c>
      <c r="B198">
        <v>80</v>
      </c>
      <c r="C198">
        <v>82</v>
      </c>
      <c r="D198">
        <v>6</v>
      </c>
    </row>
    <row r="199" spans="1:5" x14ac:dyDescent="0.2">
      <c r="A199">
        <v>87</v>
      </c>
      <c r="B199">
        <v>67</v>
      </c>
      <c r="C199">
        <v>75</v>
      </c>
      <c r="D199">
        <v>24</v>
      </c>
    </row>
    <row r="200" spans="1:5" x14ac:dyDescent="0.2">
      <c r="A200">
        <v>87</v>
      </c>
      <c r="B200">
        <v>337</v>
      </c>
      <c r="C200">
        <v>61</v>
      </c>
      <c r="D200">
        <v>14</v>
      </c>
    </row>
    <row r="201" spans="1:5" x14ac:dyDescent="0.2">
      <c r="A201">
        <v>88</v>
      </c>
      <c r="B201">
        <v>114</v>
      </c>
      <c r="C201">
        <v>26</v>
      </c>
      <c r="D201">
        <v>18</v>
      </c>
    </row>
    <row r="202" spans="1:5" x14ac:dyDescent="0.2">
      <c r="A202">
        <v>88</v>
      </c>
      <c r="B202">
        <v>79</v>
      </c>
      <c r="C202">
        <v>32</v>
      </c>
      <c r="D202">
        <v>16</v>
      </c>
    </row>
    <row r="203" spans="1:5" x14ac:dyDescent="0.2">
      <c r="A203" s="1" t="s">
        <v>246</v>
      </c>
      <c r="B203">
        <v>263</v>
      </c>
      <c r="C203">
        <v>31</v>
      </c>
      <c r="D203">
        <v>14</v>
      </c>
      <c r="E203" t="s">
        <v>421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2"/>
  <sheetViews>
    <sheetView topLeftCell="A10" zoomScale="120" zoomScaleNormal="120" workbookViewId="0">
      <selection activeCell="A63" sqref="A63"/>
    </sheetView>
  </sheetViews>
  <sheetFormatPr defaultColWidth="11.5703125" defaultRowHeight="12.75" x14ac:dyDescent="0.2"/>
  <sheetData>
    <row r="1" spans="1:4" x14ac:dyDescent="0.2">
      <c r="A1" t="s">
        <v>425</v>
      </c>
      <c r="B1" t="s">
        <v>426</v>
      </c>
      <c r="C1" t="s">
        <v>427</v>
      </c>
      <c r="D1" t="s">
        <v>41</v>
      </c>
    </row>
    <row r="2" spans="1:4" x14ac:dyDescent="0.2">
      <c r="A2" t="s">
        <v>428</v>
      </c>
      <c r="B2">
        <v>30</v>
      </c>
      <c r="C2">
        <v>-8.7200000000000006</v>
      </c>
      <c r="D2" t="s">
        <v>429</v>
      </c>
    </row>
    <row r="3" spans="1:4" x14ac:dyDescent="0.2">
      <c r="A3" t="s">
        <v>430</v>
      </c>
      <c r="B3">
        <v>30</v>
      </c>
      <c r="C3">
        <v>-7.48</v>
      </c>
      <c r="D3" t="s">
        <v>431</v>
      </c>
    </row>
    <row r="4" spans="1:4" x14ac:dyDescent="0.2">
      <c r="A4" t="s">
        <v>432</v>
      </c>
      <c r="B4">
        <v>28</v>
      </c>
      <c r="C4">
        <v>-7.48</v>
      </c>
      <c r="D4" t="s">
        <v>433</v>
      </c>
    </row>
    <row r="5" spans="1:4" x14ac:dyDescent="0.2">
      <c r="A5" t="s">
        <v>434</v>
      </c>
      <c r="B5">
        <v>22.94</v>
      </c>
      <c r="C5">
        <v>-6.54</v>
      </c>
      <c r="D5" t="s">
        <v>435</v>
      </c>
    </row>
    <row r="6" spans="1:4" x14ac:dyDescent="0.2">
      <c r="A6" t="s">
        <v>436</v>
      </c>
      <c r="B6">
        <v>22.94</v>
      </c>
      <c r="C6">
        <v>-4.4000000000000004</v>
      </c>
      <c r="D6" t="s">
        <v>437</v>
      </c>
    </row>
    <row r="7" spans="1:4" x14ac:dyDescent="0.2">
      <c r="A7" t="s">
        <v>438</v>
      </c>
      <c r="B7">
        <v>22.94</v>
      </c>
      <c r="C7">
        <v>-2.4300000000000002</v>
      </c>
      <c r="D7" t="s">
        <v>439</v>
      </c>
    </row>
    <row r="8" spans="1:4" x14ac:dyDescent="0.2">
      <c r="A8" t="s">
        <v>440</v>
      </c>
      <c r="B8">
        <v>26</v>
      </c>
      <c r="C8">
        <v>-4.4000000000000004</v>
      </c>
      <c r="D8" t="s">
        <v>441</v>
      </c>
    </row>
    <row r="9" spans="1:4" x14ac:dyDescent="0.2">
      <c r="A9" t="s">
        <v>94</v>
      </c>
      <c r="B9">
        <v>26</v>
      </c>
      <c r="C9">
        <v>-4</v>
      </c>
    </row>
    <row r="10" spans="1:4" x14ac:dyDescent="0.2">
      <c r="A10" t="s">
        <v>442</v>
      </c>
      <c r="B10">
        <v>28.55</v>
      </c>
      <c r="C10">
        <v>-4</v>
      </c>
      <c r="D10" t="s">
        <v>437</v>
      </c>
    </row>
    <row r="11" spans="1:4" x14ac:dyDescent="0.2">
      <c r="A11" t="s">
        <v>443</v>
      </c>
      <c r="B11">
        <v>28.55</v>
      </c>
      <c r="C11">
        <v>-6</v>
      </c>
      <c r="D11" t="s">
        <v>444</v>
      </c>
    </row>
    <row r="12" spans="1:4" x14ac:dyDescent="0.2">
      <c r="A12" t="s">
        <v>62</v>
      </c>
      <c r="B12">
        <v>28</v>
      </c>
      <c r="C12">
        <v>-6</v>
      </c>
    </row>
    <row r="13" spans="1:4" x14ac:dyDescent="0.2">
      <c r="A13" t="s">
        <v>445</v>
      </c>
      <c r="B13">
        <v>32.56</v>
      </c>
      <c r="C13">
        <v>-6</v>
      </c>
      <c r="D13" t="s">
        <v>446</v>
      </c>
    </row>
    <row r="14" spans="1:4" x14ac:dyDescent="0.2">
      <c r="A14" t="s">
        <v>447</v>
      </c>
      <c r="B14">
        <v>32.130000000000003</v>
      </c>
      <c r="C14">
        <v>-4</v>
      </c>
      <c r="D14" t="s">
        <v>448</v>
      </c>
    </row>
    <row r="15" spans="1:4" x14ac:dyDescent="0.2">
      <c r="A15" t="s">
        <v>449</v>
      </c>
      <c r="B15">
        <v>26</v>
      </c>
      <c r="C15">
        <v>-1.29</v>
      </c>
      <c r="D15" t="s">
        <v>450</v>
      </c>
    </row>
    <row r="16" spans="1:4" x14ac:dyDescent="0.2">
      <c r="A16" t="s">
        <v>451</v>
      </c>
      <c r="B16">
        <v>24.2</v>
      </c>
      <c r="C16">
        <v>0.4</v>
      </c>
      <c r="D16" t="s">
        <v>452</v>
      </c>
    </row>
    <row r="17" spans="1:4" x14ac:dyDescent="0.2">
      <c r="A17" t="s">
        <v>453</v>
      </c>
      <c r="B17">
        <v>22</v>
      </c>
      <c r="C17">
        <v>0.4</v>
      </c>
      <c r="D17" t="s">
        <v>454</v>
      </c>
    </row>
    <row r="18" spans="1:4" x14ac:dyDescent="0.2">
      <c r="A18" t="s">
        <v>455</v>
      </c>
      <c r="B18">
        <v>19.28</v>
      </c>
      <c r="C18">
        <v>0.4</v>
      </c>
      <c r="D18" t="s">
        <v>456</v>
      </c>
    </row>
    <row r="19" spans="1:4" x14ac:dyDescent="0.2">
      <c r="A19" t="s">
        <v>457</v>
      </c>
      <c r="B19">
        <v>18</v>
      </c>
      <c r="C19">
        <v>0.4</v>
      </c>
    </row>
    <row r="20" spans="1:4" x14ac:dyDescent="0.2">
      <c r="A20" t="s">
        <v>458</v>
      </c>
      <c r="B20">
        <v>16.5</v>
      </c>
      <c r="C20">
        <v>0.4</v>
      </c>
      <c r="D20" t="s">
        <v>459</v>
      </c>
    </row>
    <row r="21" spans="1:4" x14ac:dyDescent="0.2">
      <c r="A21" t="s">
        <v>460</v>
      </c>
      <c r="B21">
        <v>14.55</v>
      </c>
      <c r="C21">
        <v>0.4</v>
      </c>
      <c r="D21" t="s">
        <v>461</v>
      </c>
    </row>
    <row r="22" spans="1:4" x14ac:dyDescent="0.2">
      <c r="A22" t="s">
        <v>462</v>
      </c>
      <c r="B22">
        <v>13.61</v>
      </c>
      <c r="C22">
        <v>0.4</v>
      </c>
      <c r="D22" t="s">
        <v>463</v>
      </c>
    </row>
    <row r="23" spans="1:4" x14ac:dyDescent="0.2">
      <c r="A23" t="s">
        <v>464</v>
      </c>
      <c r="B23">
        <v>12</v>
      </c>
      <c r="C23">
        <v>0.4</v>
      </c>
      <c r="D23" t="s">
        <v>465</v>
      </c>
    </row>
    <row r="24" spans="1:4" x14ac:dyDescent="0.2">
      <c r="A24" t="s">
        <v>210</v>
      </c>
      <c r="B24">
        <v>12</v>
      </c>
      <c r="C24" t="s">
        <v>175</v>
      </c>
      <c r="D24" t="s">
        <v>466</v>
      </c>
    </row>
    <row r="25" spans="1:4" x14ac:dyDescent="0.2">
      <c r="A25" t="s">
        <v>218</v>
      </c>
      <c r="B25">
        <v>8</v>
      </c>
      <c r="C25" t="s">
        <v>175</v>
      </c>
      <c r="D25" t="s">
        <v>467</v>
      </c>
    </row>
    <row r="26" spans="1:4" x14ac:dyDescent="0.2">
      <c r="A26" t="s">
        <v>468</v>
      </c>
      <c r="B26">
        <v>9.24</v>
      </c>
      <c r="C26">
        <v>-2</v>
      </c>
      <c r="D26" t="s">
        <v>469</v>
      </c>
    </row>
    <row r="27" spans="1:4" x14ac:dyDescent="0.2">
      <c r="A27" t="s">
        <v>470</v>
      </c>
      <c r="B27">
        <v>13.62</v>
      </c>
      <c r="C27">
        <v>-2</v>
      </c>
      <c r="D27" t="s">
        <v>471</v>
      </c>
    </row>
    <row r="28" spans="1:4" x14ac:dyDescent="0.2">
      <c r="A28" t="s">
        <v>163</v>
      </c>
      <c r="B28">
        <v>14</v>
      </c>
      <c r="C28">
        <v>-2</v>
      </c>
      <c r="D28" t="s">
        <v>472</v>
      </c>
    </row>
    <row r="29" spans="1:4" x14ac:dyDescent="0.2">
      <c r="A29" t="s">
        <v>473</v>
      </c>
      <c r="B29">
        <v>16.5</v>
      </c>
      <c r="C29">
        <v>-2.4300000000000002</v>
      </c>
      <c r="D29" t="s">
        <v>474</v>
      </c>
    </row>
    <row r="30" spans="1:4" x14ac:dyDescent="0.2">
      <c r="A30" t="s">
        <v>475</v>
      </c>
      <c r="B30">
        <v>16.73</v>
      </c>
      <c r="C30">
        <v>-2.4300000000000002</v>
      </c>
      <c r="D30" t="s">
        <v>476</v>
      </c>
    </row>
    <row r="31" spans="1:4" x14ac:dyDescent="0.2">
      <c r="A31" t="s">
        <v>477</v>
      </c>
      <c r="B31">
        <v>19.28</v>
      </c>
      <c r="C31">
        <v>-2.4300000000000002</v>
      </c>
      <c r="D31" t="s">
        <v>478</v>
      </c>
    </row>
    <row r="32" spans="1:4" x14ac:dyDescent="0.2">
      <c r="A32" t="s">
        <v>479</v>
      </c>
      <c r="B32">
        <v>20</v>
      </c>
      <c r="C32">
        <v>-2.4300000000000002</v>
      </c>
      <c r="D32" t="s">
        <v>476</v>
      </c>
    </row>
    <row r="33" spans="1:4" x14ac:dyDescent="0.2">
      <c r="A33" t="s">
        <v>480</v>
      </c>
      <c r="B33">
        <v>16.73</v>
      </c>
      <c r="C33">
        <v>-4</v>
      </c>
      <c r="D33" t="s">
        <v>481</v>
      </c>
    </row>
    <row r="34" spans="1:4" x14ac:dyDescent="0.2">
      <c r="A34" t="s">
        <v>121</v>
      </c>
      <c r="B34">
        <v>14</v>
      </c>
      <c r="C34">
        <v>-4</v>
      </c>
      <c r="D34" t="s">
        <v>482</v>
      </c>
    </row>
    <row r="35" spans="1:4" x14ac:dyDescent="0.2">
      <c r="A35" t="s">
        <v>124</v>
      </c>
      <c r="B35">
        <v>12</v>
      </c>
      <c r="C35">
        <v>-4</v>
      </c>
      <c r="D35" t="s">
        <v>483</v>
      </c>
    </row>
    <row r="36" spans="1:4" x14ac:dyDescent="0.2">
      <c r="A36" t="s">
        <v>484</v>
      </c>
      <c r="B36">
        <v>9.5500000000000007</v>
      </c>
      <c r="C36">
        <v>-4</v>
      </c>
    </row>
    <row r="37" spans="1:4" x14ac:dyDescent="0.2">
      <c r="A37" t="s">
        <v>485</v>
      </c>
      <c r="B37">
        <v>9.1199999999999992</v>
      </c>
      <c r="C37">
        <v>-6</v>
      </c>
      <c r="D37" t="s">
        <v>486</v>
      </c>
    </row>
    <row r="38" spans="1:4" x14ac:dyDescent="0.2">
      <c r="A38" t="s">
        <v>75</v>
      </c>
      <c r="B38">
        <v>12</v>
      </c>
      <c r="C38">
        <v>-6</v>
      </c>
      <c r="D38" t="s">
        <v>487</v>
      </c>
    </row>
    <row r="39" spans="1:4" x14ac:dyDescent="0.2">
      <c r="A39" t="s">
        <v>488</v>
      </c>
      <c r="B39">
        <v>14</v>
      </c>
      <c r="C39">
        <v>-7.66</v>
      </c>
      <c r="D39" t="s">
        <v>489</v>
      </c>
    </row>
    <row r="40" spans="1:4" x14ac:dyDescent="0.2">
      <c r="A40" t="s">
        <v>490</v>
      </c>
      <c r="B40">
        <v>16.73</v>
      </c>
      <c r="C40">
        <v>-7.4</v>
      </c>
      <c r="D40" t="s">
        <v>481</v>
      </c>
    </row>
    <row r="41" spans="1:4" x14ac:dyDescent="0.2">
      <c r="A41" t="s">
        <v>491</v>
      </c>
      <c r="B41">
        <v>8</v>
      </c>
      <c r="C41">
        <v>2</v>
      </c>
      <c r="D41" t="s">
        <v>492</v>
      </c>
    </row>
    <row r="42" spans="1:4" x14ac:dyDescent="0.2">
      <c r="A42" t="s">
        <v>243</v>
      </c>
      <c r="B42">
        <v>12</v>
      </c>
      <c r="C42">
        <v>2</v>
      </c>
      <c r="D42" t="s">
        <v>493</v>
      </c>
    </row>
    <row r="43" spans="1:4" x14ac:dyDescent="0.2">
      <c r="A43" t="s">
        <v>494</v>
      </c>
      <c r="B43">
        <v>12.49</v>
      </c>
      <c r="C43">
        <v>2</v>
      </c>
      <c r="D43" t="s">
        <v>495</v>
      </c>
    </row>
    <row r="44" spans="1:4" x14ac:dyDescent="0.2">
      <c r="A44" t="s">
        <v>496</v>
      </c>
      <c r="B44">
        <v>12.49</v>
      </c>
      <c r="C44">
        <v>4</v>
      </c>
      <c r="D44" t="s">
        <v>497</v>
      </c>
    </row>
    <row r="45" spans="1:4" x14ac:dyDescent="0.2">
      <c r="A45" t="s">
        <v>498</v>
      </c>
      <c r="B45">
        <v>8</v>
      </c>
      <c r="C45">
        <v>4</v>
      </c>
      <c r="D45" t="s">
        <v>467</v>
      </c>
    </row>
    <row r="46" spans="1:4" x14ac:dyDescent="0.2">
      <c r="A46" t="s">
        <v>273</v>
      </c>
      <c r="B46">
        <v>14</v>
      </c>
      <c r="C46">
        <v>4</v>
      </c>
      <c r="D46" t="s">
        <v>499</v>
      </c>
    </row>
    <row r="47" spans="1:4" x14ac:dyDescent="0.2">
      <c r="A47" t="s">
        <v>500</v>
      </c>
      <c r="B47">
        <v>14.55</v>
      </c>
      <c r="C47">
        <v>3.54</v>
      </c>
      <c r="D47" t="s">
        <v>501</v>
      </c>
    </row>
    <row r="48" spans="1:4" x14ac:dyDescent="0.2">
      <c r="A48" t="s">
        <v>502</v>
      </c>
      <c r="B48">
        <v>14.55</v>
      </c>
      <c r="C48">
        <v>2.41</v>
      </c>
      <c r="D48" t="s">
        <v>503</v>
      </c>
    </row>
    <row r="49" spans="1:4" x14ac:dyDescent="0.2">
      <c r="A49" t="s">
        <v>504</v>
      </c>
      <c r="B49">
        <v>17.04</v>
      </c>
      <c r="C49">
        <v>2.41</v>
      </c>
      <c r="D49" t="s">
        <v>505</v>
      </c>
    </row>
    <row r="50" spans="1:4" x14ac:dyDescent="0.2">
      <c r="A50" t="s">
        <v>506</v>
      </c>
      <c r="B50">
        <v>18</v>
      </c>
      <c r="C50">
        <v>2.41</v>
      </c>
      <c r="D50" t="s">
        <v>507</v>
      </c>
    </row>
    <row r="51" spans="1:4" x14ac:dyDescent="0.2">
      <c r="A51" t="s">
        <v>508</v>
      </c>
      <c r="B51">
        <v>22</v>
      </c>
      <c r="C51">
        <v>2.41</v>
      </c>
      <c r="D51" t="s">
        <v>509</v>
      </c>
    </row>
    <row r="52" spans="1:4" x14ac:dyDescent="0.2">
      <c r="A52" t="s">
        <v>510</v>
      </c>
      <c r="B52">
        <v>22</v>
      </c>
      <c r="C52">
        <v>4.37</v>
      </c>
      <c r="D52" t="s">
        <v>511</v>
      </c>
    </row>
    <row r="53" spans="1:4" x14ac:dyDescent="0.2">
      <c r="A53" t="s">
        <v>512</v>
      </c>
      <c r="B53">
        <v>18.649999999999999</v>
      </c>
      <c r="C53">
        <v>4.37</v>
      </c>
      <c r="D53" t="s">
        <v>513</v>
      </c>
    </row>
    <row r="54" spans="1:4" x14ac:dyDescent="0.2">
      <c r="A54" t="s">
        <v>514</v>
      </c>
      <c r="B54">
        <v>17.04</v>
      </c>
      <c r="C54">
        <v>4.26</v>
      </c>
      <c r="D54" t="s">
        <v>515</v>
      </c>
    </row>
    <row r="55" spans="1:4" x14ac:dyDescent="0.2">
      <c r="A55" t="s">
        <v>516</v>
      </c>
      <c r="B55">
        <v>16.23</v>
      </c>
      <c r="C55">
        <v>4.26</v>
      </c>
      <c r="D55" t="s">
        <v>517</v>
      </c>
    </row>
    <row r="56" spans="1:4" x14ac:dyDescent="0.2">
      <c r="A56" t="s">
        <v>518</v>
      </c>
      <c r="B56">
        <v>16.23</v>
      </c>
      <c r="C56">
        <v>4.9000000000000004</v>
      </c>
      <c r="D56" t="s">
        <v>519</v>
      </c>
    </row>
    <row r="57" spans="1:4" x14ac:dyDescent="0.2">
      <c r="A57" t="s">
        <v>520</v>
      </c>
      <c r="B57">
        <v>14</v>
      </c>
      <c r="C57">
        <v>4.9000000000000004</v>
      </c>
      <c r="D57" t="s">
        <v>521</v>
      </c>
    </row>
    <row r="58" spans="1:4" x14ac:dyDescent="0.2">
      <c r="A58" t="s">
        <v>522</v>
      </c>
      <c r="B58">
        <v>14</v>
      </c>
      <c r="C58">
        <v>6.06</v>
      </c>
      <c r="D58" t="s">
        <v>523</v>
      </c>
    </row>
    <row r="59" spans="1:4" x14ac:dyDescent="0.2">
      <c r="A59" t="s">
        <v>524</v>
      </c>
      <c r="B59">
        <v>18.649999999999999</v>
      </c>
      <c r="C59">
        <v>7.93</v>
      </c>
    </row>
    <row r="60" spans="1:4" x14ac:dyDescent="0.2">
      <c r="A60" t="s">
        <v>328</v>
      </c>
      <c r="B60">
        <v>20</v>
      </c>
      <c r="C60">
        <v>8</v>
      </c>
      <c r="D60" t="s">
        <v>525</v>
      </c>
    </row>
    <row r="61" spans="1:4" x14ac:dyDescent="0.2">
      <c r="A61" t="s">
        <v>325</v>
      </c>
      <c r="B61">
        <v>22</v>
      </c>
      <c r="C61">
        <v>8</v>
      </c>
      <c r="D61" t="s">
        <v>526</v>
      </c>
    </row>
    <row r="62" spans="1:4" x14ac:dyDescent="0.2">
      <c r="A62" t="s">
        <v>527</v>
      </c>
      <c r="B62">
        <v>25.5</v>
      </c>
      <c r="C62">
        <v>8</v>
      </c>
      <c r="D62" t="s">
        <v>528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BS50"/>
  <sheetViews>
    <sheetView topLeftCell="A36" zoomScale="120" zoomScaleNormal="120" workbookViewId="0">
      <selection activeCell="BN25" sqref="BN25"/>
    </sheetView>
  </sheetViews>
  <sheetFormatPr defaultColWidth="11.5703125" defaultRowHeight="12.75" x14ac:dyDescent="0.2"/>
  <cols>
    <col min="3" max="54" width="6.42578125" customWidth="1"/>
    <col min="56" max="71" width="6.42578125" customWidth="1"/>
  </cols>
  <sheetData>
    <row r="3" spans="3:71" ht="36" customHeight="1" x14ac:dyDescent="0.2">
      <c r="C3" s="5"/>
      <c r="D3" s="6"/>
      <c r="E3" s="6"/>
      <c r="F3" s="7"/>
      <c r="G3" s="5"/>
      <c r="H3" s="6"/>
      <c r="I3" s="6"/>
      <c r="J3" s="7"/>
      <c r="K3" s="5"/>
      <c r="L3" s="6"/>
      <c r="M3" s="6"/>
      <c r="N3" s="7"/>
      <c r="O3" s="5"/>
      <c r="P3" s="6"/>
      <c r="Q3" s="6"/>
      <c r="R3" s="7"/>
      <c r="S3" s="5"/>
      <c r="T3" s="6"/>
      <c r="U3" s="6"/>
      <c r="V3" s="7"/>
      <c r="W3" s="5"/>
      <c r="X3" s="6"/>
      <c r="Y3" s="6"/>
      <c r="Z3" s="7"/>
      <c r="AA3" s="5"/>
      <c r="AB3" s="6"/>
      <c r="AC3" s="6"/>
      <c r="AD3" s="7"/>
      <c r="AE3" s="5"/>
      <c r="AF3" s="6"/>
      <c r="AG3" s="6"/>
      <c r="AH3" s="7"/>
      <c r="AI3" s="5"/>
      <c r="AJ3" s="6"/>
      <c r="AK3" s="6"/>
      <c r="AL3" s="7"/>
      <c r="AM3" s="5"/>
      <c r="AN3" s="6"/>
      <c r="AO3" s="6"/>
      <c r="AP3" s="8"/>
      <c r="AQ3" s="9"/>
      <c r="AR3" s="6"/>
      <c r="AS3" s="6"/>
      <c r="AT3" s="7"/>
      <c r="AU3" s="5"/>
      <c r="AV3" s="6"/>
      <c r="AW3" s="6"/>
      <c r="AX3" s="7"/>
      <c r="AY3" s="5"/>
      <c r="AZ3" s="6"/>
      <c r="BA3" s="6"/>
      <c r="BB3" s="7"/>
      <c r="BD3" s="47"/>
      <c r="BE3" s="47"/>
      <c r="BF3" s="47"/>
      <c r="BG3" s="47"/>
      <c r="BH3" s="48"/>
      <c r="BI3" s="48"/>
      <c r="BJ3" s="48"/>
      <c r="BK3" s="48"/>
      <c r="BL3" s="48"/>
      <c r="BM3" s="48"/>
      <c r="BN3" s="48"/>
      <c r="BO3" s="48"/>
      <c r="BP3" s="49"/>
      <c r="BQ3" s="49"/>
      <c r="BR3" s="49"/>
      <c r="BS3" s="49"/>
    </row>
    <row r="4" spans="3:71" ht="36" customHeight="1" x14ac:dyDescent="0.2">
      <c r="C4" s="10"/>
      <c r="D4" s="11"/>
      <c r="E4" s="11"/>
      <c r="F4" s="12"/>
      <c r="G4" s="10"/>
      <c r="H4" s="11"/>
      <c r="I4" s="11"/>
      <c r="J4" s="12"/>
      <c r="K4" s="10"/>
      <c r="L4" s="11"/>
      <c r="M4" s="11"/>
      <c r="N4" s="12"/>
      <c r="O4" s="10"/>
      <c r="P4" s="11"/>
      <c r="Q4" s="11"/>
      <c r="R4" s="12"/>
      <c r="S4" s="10"/>
      <c r="T4" s="11"/>
      <c r="U4" s="11"/>
      <c r="V4" s="12"/>
      <c r="W4" s="10"/>
      <c r="X4" s="11"/>
      <c r="Y4" s="11"/>
      <c r="Z4" s="12"/>
      <c r="AA4" s="10"/>
      <c r="AB4" s="11"/>
      <c r="AC4" s="11"/>
      <c r="AD4" s="12"/>
      <c r="AE4" s="10"/>
      <c r="AF4" s="11"/>
      <c r="AG4" s="11"/>
      <c r="AH4" s="12"/>
      <c r="AI4" s="10"/>
      <c r="AJ4" s="11"/>
      <c r="AK4" s="11"/>
      <c r="AL4" s="12"/>
      <c r="AM4" s="10"/>
      <c r="AN4" s="11"/>
      <c r="AO4" s="11"/>
      <c r="AP4" s="13"/>
      <c r="AQ4" s="14"/>
      <c r="AR4" s="11"/>
      <c r="AS4" s="11"/>
      <c r="AT4" s="12"/>
      <c r="AU4" s="10"/>
      <c r="AV4" s="11"/>
      <c r="AW4" s="11"/>
      <c r="AX4" s="12"/>
      <c r="AY4" s="10"/>
      <c r="AZ4" s="11"/>
      <c r="BA4" s="11"/>
      <c r="BB4" s="12"/>
      <c r="BD4" s="47"/>
      <c r="BE4" s="47"/>
      <c r="BF4" s="47"/>
      <c r="BG4" s="47"/>
      <c r="BH4" s="48"/>
      <c r="BI4" s="48"/>
      <c r="BJ4" s="48"/>
      <c r="BK4" s="48"/>
      <c r="BL4" s="48"/>
      <c r="BM4" s="48"/>
      <c r="BN4" s="48"/>
      <c r="BO4" s="48"/>
      <c r="BP4" s="49"/>
      <c r="BQ4" s="49"/>
      <c r="BR4" s="49"/>
      <c r="BS4" s="49"/>
    </row>
    <row r="5" spans="3:71" ht="36" customHeight="1" x14ac:dyDescent="0.2">
      <c r="C5" s="15">
        <v>0</v>
      </c>
      <c r="D5" s="11"/>
      <c r="E5" s="11"/>
      <c r="F5" s="12"/>
      <c r="G5" s="15">
        <v>1</v>
      </c>
      <c r="H5" s="11"/>
      <c r="I5" s="11"/>
      <c r="J5" s="12"/>
      <c r="K5" s="15">
        <v>2</v>
      </c>
      <c r="L5" s="11"/>
      <c r="M5" s="11"/>
      <c r="N5" s="12"/>
      <c r="O5" s="15">
        <v>3</v>
      </c>
      <c r="P5" s="11"/>
      <c r="Q5" s="11"/>
      <c r="R5" s="12"/>
      <c r="S5" s="15">
        <v>4</v>
      </c>
      <c r="T5" s="11"/>
      <c r="U5" s="11"/>
      <c r="V5" s="12"/>
      <c r="W5" s="15">
        <v>5</v>
      </c>
      <c r="X5" s="11"/>
      <c r="Y5" s="11"/>
      <c r="Z5" s="12"/>
      <c r="AA5" s="15">
        <v>6</v>
      </c>
      <c r="AB5" s="11"/>
      <c r="AC5" s="11"/>
      <c r="AD5" s="12"/>
      <c r="AE5" s="15">
        <v>7</v>
      </c>
      <c r="AF5" s="11"/>
      <c r="AG5" s="11"/>
      <c r="AH5" s="12"/>
      <c r="AI5" s="15">
        <v>8</v>
      </c>
      <c r="AJ5" s="11"/>
      <c r="AK5" s="11"/>
      <c r="AL5" s="12"/>
      <c r="AM5" s="15">
        <v>9</v>
      </c>
      <c r="AN5" s="11"/>
      <c r="AO5" s="11"/>
      <c r="AP5" s="13"/>
      <c r="AQ5" s="16">
        <v>10</v>
      </c>
      <c r="AR5" s="11"/>
      <c r="AS5" s="11"/>
      <c r="AT5" s="12"/>
      <c r="AU5" s="15">
        <v>11</v>
      </c>
      <c r="AV5" s="11"/>
      <c r="AW5" s="11"/>
      <c r="AX5" s="12"/>
      <c r="AY5" s="15">
        <v>12</v>
      </c>
      <c r="AZ5" s="11"/>
      <c r="BA5" s="11"/>
      <c r="BB5" s="12"/>
      <c r="BD5" s="47"/>
      <c r="BE5" s="47"/>
      <c r="BF5" s="47"/>
      <c r="BG5" s="47"/>
      <c r="BH5" s="48"/>
      <c r="BI5" s="48"/>
      <c r="BJ5" s="48"/>
      <c r="BK5" s="48"/>
      <c r="BL5" s="48"/>
      <c r="BM5" s="48"/>
      <c r="BN5" s="48"/>
      <c r="BO5" s="48"/>
      <c r="BP5" s="49"/>
      <c r="BQ5" s="49"/>
      <c r="BR5" s="49"/>
      <c r="BS5" s="49"/>
    </row>
    <row r="6" spans="3:71" ht="36" customHeight="1" x14ac:dyDescent="0.2">
      <c r="C6" s="17">
        <v>34</v>
      </c>
      <c r="D6" s="18"/>
      <c r="E6" s="19">
        <v>11</v>
      </c>
      <c r="F6" s="20">
        <v>12</v>
      </c>
      <c r="G6" s="17">
        <v>32</v>
      </c>
      <c r="H6" s="18"/>
      <c r="I6" s="19">
        <v>11</v>
      </c>
      <c r="J6" s="20">
        <v>12</v>
      </c>
      <c r="K6" s="17">
        <v>30</v>
      </c>
      <c r="L6" s="18"/>
      <c r="M6" s="19">
        <v>11</v>
      </c>
      <c r="N6" s="20">
        <v>12</v>
      </c>
      <c r="O6" s="17">
        <v>28</v>
      </c>
      <c r="P6" s="18"/>
      <c r="Q6" s="19">
        <v>11</v>
      </c>
      <c r="R6" s="20">
        <v>12</v>
      </c>
      <c r="S6" s="17">
        <v>26</v>
      </c>
      <c r="T6" s="18"/>
      <c r="U6" s="19">
        <v>11</v>
      </c>
      <c r="V6" s="20">
        <v>12</v>
      </c>
      <c r="W6" s="17">
        <v>24</v>
      </c>
      <c r="X6" s="18"/>
      <c r="Y6" s="19">
        <v>11</v>
      </c>
      <c r="Z6" s="20">
        <v>12</v>
      </c>
      <c r="AA6" s="17">
        <v>22</v>
      </c>
      <c r="AB6" s="18"/>
      <c r="AC6" s="19">
        <v>11</v>
      </c>
      <c r="AD6" s="20">
        <v>12</v>
      </c>
      <c r="AE6" s="17">
        <v>20</v>
      </c>
      <c r="AF6" s="18"/>
      <c r="AG6" s="19">
        <v>11</v>
      </c>
      <c r="AH6" s="20">
        <v>12</v>
      </c>
      <c r="AI6" s="17">
        <v>18</v>
      </c>
      <c r="AJ6" s="18"/>
      <c r="AK6" s="19">
        <v>11</v>
      </c>
      <c r="AL6" s="20">
        <v>12</v>
      </c>
      <c r="AM6" s="17">
        <v>16</v>
      </c>
      <c r="AN6" s="18"/>
      <c r="AO6" s="19">
        <v>11</v>
      </c>
      <c r="AP6" s="21">
        <v>12</v>
      </c>
      <c r="AQ6" s="22">
        <v>14</v>
      </c>
      <c r="AR6" s="18"/>
      <c r="AS6" s="19">
        <v>11</v>
      </c>
      <c r="AT6" s="20">
        <v>12</v>
      </c>
      <c r="AU6" s="17">
        <v>12</v>
      </c>
      <c r="AV6" s="18"/>
      <c r="AW6" s="19">
        <v>11</v>
      </c>
      <c r="AX6" s="20">
        <v>12</v>
      </c>
      <c r="AY6" s="17">
        <v>10</v>
      </c>
      <c r="AZ6" s="18"/>
      <c r="BA6" s="19">
        <v>11</v>
      </c>
      <c r="BB6" s="20">
        <v>12</v>
      </c>
      <c r="BD6" s="47"/>
      <c r="BE6" s="47"/>
      <c r="BF6" s="47"/>
      <c r="BG6" s="47"/>
      <c r="BH6" s="48"/>
      <c r="BI6" s="48"/>
      <c r="BJ6" s="48"/>
      <c r="BK6" s="48"/>
      <c r="BL6" s="48"/>
      <c r="BM6" s="48"/>
      <c r="BN6" s="48"/>
      <c r="BO6" s="48"/>
      <c r="BP6" s="49"/>
      <c r="BQ6" s="49"/>
      <c r="BR6" s="49"/>
      <c r="BS6" s="49"/>
    </row>
    <row r="7" spans="3:71" ht="36" customHeight="1" x14ac:dyDescent="0.2">
      <c r="C7" s="5"/>
      <c r="D7" s="6"/>
      <c r="E7" s="6"/>
      <c r="F7" s="7"/>
      <c r="G7" s="5"/>
      <c r="H7" s="6"/>
      <c r="I7" s="6"/>
      <c r="J7" s="7"/>
      <c r="K7" s="5"/>
      <c r="L7" s="6"/>
      <c r="M7" s="6"/>
      <c r="N7" s="7"/>
      <c r="O7" s="5"/>
      <c r="P7" s="6"/>
      <c r="Q7" s="6"/>
      <c r="R7" s="7"/>
      <c r="S7" s="5"/>
      <c r="T7" s="6"/>
      <c r="U7" s="6"/>
      <c r="V7" s="7"/>
      <c r="W7" s="5"/>
      <c r="X7" s="6"/>
      <c r="Y7" s="6"/>
      <c r="Z7" s="7"/>
      <c r="AA7" s="5"/>
      <c r="AB7" s="6"/>
      <c r="AC7" s="6"/>
      <c r="AD7" s="7"/>
      <c r="AE7" s="5"/>
      <c r="AF7" s="6"/>
      <c r="AG7" s="6"/>
      <c r="AH7" s="7"/>
      <c r="AI7" s="5"/>
      <c r="AJ7" s="6"/>
      <c r="AK7" s="6"/>
      <c r="AL7" s="7"/>
      <c r="AM7" s="5"/>
      <c r="AN7" s="6"/>
      <c r="AO7" s="6"/>
      <c r="AP7" s="8"/>
      <c r="AQ7" s="9"/>
      <c r="AR7" s="6"/>
      <c r="AS7" s="6"/>
      <c r="AT7" s="7"/>
      <c r="AU7" s="5"/>
      <c r="AV7" s="6"/>
      <c r="AW7" s="6"/>
      <c r="AX7" s="7"/>
      <c r="AY7" s="5"/>
      <c r="AZ7" s="6"/>
      <c r="BA7" s="6"/>
      <c r="BB7" s="7"/>
      <c r="BD7" s="50"/>
      <c r="BE7" s="50"/>
      <c r="BF7" s="50"/>
      <c r="BG7" s="50"/>
      <c r="BH7" s="51" t="s">
        <v>529</v>
      </c>
      <c r="BI7" s="51"/>
      <c r="BJ7" s="51"/>
      <c r="BK7" s="51"/>
      <c r="BL7" s="41" t="s">
        <v>530</v>
      </c>
      <c r="BM7" s="41"/>
      <c r="BN7" s="41"/>
      <c r="BO7" s="41"/>
      <c r="BP7" s="42"/>
      <c r="BQ7" s="42"/>
      <c r="BR7" s="42"/>
      <c r="BS7" s="42"/>
    </row>
    <row r="8" spans="3:71" ht="36" customHeight="1" x14ac:dyDescent="0.2">
      <c r="C8" s="10"/>
      <c r="D8" s="11"/>
      <c r="E8" s="11"/>
      <c r="F8" s="12"/>
      <c r="G8" s="10"/>
      <c r="H8" s="11"/>
      <c r="I8" s="11"/>
      <c r="J8" s="12"/>
      <c r="K8" s="10"/>
      <c r="L8" s="11"/>
      <c r="M8" s="11"/>
      <c r="N8" s="12"/>
      <c r="O8" s="10"/>
      <c r="P8" s="23">
        <v>97</v>
      </c>
      <c r="Q8" s="11"/>
      <c r="R8" s="12"/>
      <c r="S8" s="10"/>
      <c r="T8" s="23">
        <v>98</v>
      </c>
      <c r="U8" s="11"/>
      <c r="V8" s="12"/>
      <c r="W8" s="10"/>
      <c r="X8" s="11"/>
      <c r="Y8" s="11"/>
      <c r="Z8" s="12"/>
      <c r="AA8" s="10"/>
      <c r="AB8" s="11"/>
      <c r="AC8" s="11"/>
      <c r="AD8" s="12"/>
      <c r="AE8" s="10"/>
      <c r="AF8" s="11"/>
      <c r="AG8" s="11"/>
      <c r="AH8" s="12"/>
      <c r="AI8" s="10"/>
      <c r="AJ8" s="11"/>
      <c r="AK8" s="11"/>
      <c r="AL8" s="12"/>
      <c r="AM8" s="10"/>
      <c r="AN8" s="11"/>
      <c r="AO8" s="11"/>
      <c r="AP8" s="13"/>
      <c r="AQ8" s="14"/>
      <c r="AR8" s="11"/>
      <c r="AS8" s="11"/>
      <c r="AT8" s="12"/>
      <c r="AU8" s="10"/>
      <c r="AV8" s="11"/>
      <c r="AW8" s="11"/>
      <c r="AX8" s="12"/>
      <c r="AY8" s="10"/>
      <c r="AZ8" s="11"/>
      <c r="BA8" s="11"/>
      <c r="BB8" s="12"/>
      <c r="BD8" s="50"/>
      <c r="BE8" s="50"/>
      <c r="BF8" s="50"/>
      <c r="BG8" s="50"/>
      <c r="BH8" s="51"/>
      <c r="BI8" s="51"/>
      <c r="BJ8" s="51"/>
      <c r="BK8" s="51"/>
      <c r="BL8" s="41"/>
      <c r="BM8" s="41"/>
      <c r="BN8" s="41"/>
      <c r="BO8" s="41"/>
      <c r="BP8" s="42"/>
      <c r="BQ8" s="42"/>
      <c r="BR8" s="42"/>
      <c r="BS8" s="42"/>
    </row>
    <row r="9" spans="3:71" ht="36" customHeight="1" x14ac:dyDescent="0.2">
      <c r="C9" s="15">
        <v>0</v>
      </c>
      <c r="D9" s="11"/>
      <c r="E9" s="11"/>
      <c r="F9" s="12"/>
      <c r="G9" s="15">
        <v>1</v>
      </c>
      <c r="H9" s="11"/>
      <c r="I9" s="11"/>
      <c r="J9" s="12"/>
      <c r="K9" s="15">
        <v>2</v>
      </c>
      <c r="L9" s="11"/>
      <c r="M9" s="11"/>
      <c r="N9" s="12"/>
      <c r="O9" s="15">
        <v>3</v>
      </c>
      <c r="P9" s="11">
        <v>0</v>
      </c>
      <c r="Q9" s="11">
        <v>0</v>
      </c>
      <c r="R9" s="12">
        <v>1</v>
      </c>
      <c r="S9" s="15">
        <v>4</v>
      </c>
      <c r="T9" s="11">
        <v>1</v>
      </c>
      <c r="U9" s="11">
        <v>0</v>
      </c>
      <c r="V9" s="12">
        <v>0</v>
      </c>
      <c r="W9" s="15">
        <v>5</v>
      </c>
      <c r="X9" s="11"/>
      <c r="Y9" s="11"/>
      <c r="Z9" s="12"/>
      <c r="AA9" s="15">
        <v>6</v>
      </c>
      <c r="AB9" s="11"/>
      <c r="AC9" s="11"/>
      <c r="AD9" s="12"/>
      <c r="AE9" s="15">
        <v>7</v>
      </c>
      <c r="AF9" s="11"/>
      <c r="AG9" s="11"/>
      <c r="AH9" s="12"/>
      <c r="AI9" s="15">
        <v>8</v>
      </c>
      <c r="AJ9" s="11"/>
      <c r="AK9" s="11"/>
      <c r="AL9" s="12"/>
      <c r="AM9" s="15">
        <v>9</v>
      </c>
      <c r="AN9" s="11"/>
      <c r="AO9" s="11"/>
      <c r="AP9" s="13"/>
      <c r="AQ9" s="16">
        <v>10</v>
      </c>
      <c r="AR9" s="11"/>
      <c r="AS9" s="11"/>
      <c r="AT9" s="12"/>
      <c r="AU9" s="15">
        <v>11</v>
      </c>
      <c r="AV9" s="11"/>
      <c r="AW9" s="11"/>
      <c r="AX9" s="12"/>
      <c r="AY9" s="15">
        <v>12</v>
      </c>
      <c r="AZ9" s="11"/>
      <c r="BA9" s="11"/>
      <c r="BB9" s="12"/>
      <c r="BD9" s="50"/>
      <c r="BE9" s="50"/>
      <c r="BF9" s="50"/>
      <c r="BG9" s="50"/>
      <c r="BH9" s="51"/>
      <c r="BI9" s="51"/>
      <c r="BJ9" s="51"/>
      <c r="BK9" s="51"/>
      <c r="BL9" s="41"/>
      <c r="BM9" s="41"/>
      <c r="BN9" s="41"/>
      <c r="BO9" s="41"/>
      <c r="BP9" s="42"/>
      <c r="BQ9" s="42"/>
      <c r="BR9" s="42"/>
      <c r="BS9" s="42"/>
    </row>
    <row r="10" spans="3:71" ht="36" customHeight="1" x14ac:dyDescent="0.2">
      <c r="C10" s="17">
        <v>34</v>
      </c>
      <c r="D10" s="18"/>
      <c r="E10" s="19">
        <v>10</v>
      </c>
      <c r="F10" s="20">
        <v>10</v>
      </c>
      <c r="G10" s="17">
        <v>32</v>
      </c>
      <c r="H10" s="18"/>
      <c r="I10" s="19">
        <v>10</v>
      </c>
      <c r="J10" s="20">
        <v>10</v>
      </c>
      <c r="K10" s="17">
        <v>30</v>
      </c>
      <c r="L10" s="18"/>
      <c r="M10" s="19">
        <v>10</v>
      </c>
      <c r="N10" s="20">
        <v>10</v>
      </c>
      <c r="O10" s="17">
        <v>28</v>
      </c>
      <c r="P10" s="18"/>
      <c r="Q10" s="19">
        <v>10</v>
      </c>
      <c r="R10" s="20">
        <v>10</v>
      </c>
      <c r="S10" s="17">
        <v>26</v>
      </c>
      <c r="T10" s="18"/>
      <c r="U10" s="19">
        <v>10</v>
      </c>
      <c r="V10" s="20">
        <v>10</v>
      </c>
      <c r="W10" s="17">
        <v>24</v>
      </c>
      <c r="X10" s="18"/>
      <c r="Y10" s="19">
        <v>10</v>
      </c>
      <c r="Z10" s="20">
        <v>10</v>
      </c>
      <c r="AA10" s="17">
        <v>22</v>
      </c>
      <c r="AB10" s="18"/>
      <c r="AC10" s="19">
        <v>10</v>
      </c>
      <c r="AD10" s="20">
        <v>10</v>
      </c>
      <c r="AE10" s="17">
        <v>20</v>
      </c>
      <c r="AF10" s="18"/>
      <c r="AG10" s="19">
        <v>10</v>
      </c>
      <c r="AH10" s="20">
        <v>10</v>
      </c>
      <c r="AI10" s="17">
        <v>18</v>
      </c>
      <c r="AJ10" s="18"/>
      <c r="AK10" s="19">
        <v>10</v>
      </c>
      <c r="AL10" s="20">
        <v>10</v>
      </c>
      <c r="AM10" s="17">
        <v>16</v>
      </c>
      <c r="AN10" s="18"/>
      <c r="AO10" s="19">
        <v>10</v>
      </c>
      <c r="AP10" s="21">
        <v>10</v>
      </c>
      <c r="AQ10" s="22">
        <v>14</v>
      </c>
      <c r="AR10" s="18"/>
      <c r="AS10" s="19">
        <v>10</v>
      </c>
      <c r="AT10" s="20">
        <v>10</v>
      </c>
      <c r="AU10" s="17">
        <v>12</v>
      </c>
      <c r="AV10" s="18"/>
      <c r="AW10" s="19">
        <v>10</v>
      </c>
      <c r="AX10" s="20">
        <v>10</v>
      </c>
      <c r="AY10" s="17">
        <v>10</v>
      </c>
      <c r="AZ10" s="18"/>
      <c r="BA10" s="19">
        <v>10</v>
      </c>
      <c r="BB10" s="20">
        <v>10</v>
      </c>
      <c r="BD10" s="50"/>
      <c r="BE10" s="50"/>
      <c r="BF10" s="50"/>
      <c r="BG10" s="50"/>
      <c r="BH10" s="51"/>
      <c r="BI10" s="51"/>
      <c r="BJ10" s="51"/>
      <c r="BK10" s="51"/>
      <c r="BL10" s="41"/>
      <c r="BM10" s="41"/>
      <c r="BN10" s="41"/>
      <c r="BO10" s="41"/>
      <c r="BP10" s="42"/>
      <c r="BQ10" s="42"/>
      <c r="BR10" s="42"/>
      <c r="BS10" s="42"/>
    </row>
    <row r="11" spans="3:71" ht="36" customHeight="1" x14ac:dyDescent="0.2">
      <c r="C11" s="5"/>
      <c r="D11" s="6"/>
      <c r="E11" s="6"/>
      <c r="F11" s="7"/>
      <c r="G11" s="5"/>
      <c r="H11" s="6"/>
      <c r="I11" s="6"/>
      <c r="J11" s="7"/>
      <c r="K11" s="5"/>
      <c r="L11" s="6"/>
      <c r="M11" s="6"/>
      <c r="N11" s="7"/>
      <c r="O11" s="5"/>
      <c r="P11" s="6"/>
      <c r="Q11" s="6"/>
      <c r="R11" s="7"/>
      <c r="S11" s="5"/>
      <c r="T11" s="6"/>
      <c r="U11" s="6"/>
      <c r="V11" s="7"/>
      <c r="W11" s="5"/>
      <c r="X11" s="6"/>
      <c r="Y11" s="6"/>
      <c r="Z11" s="7"/>
      <c r="AA11" s="5"/>
      <c r="AB11" s="6"/>
      <c r="AC11" s="6"/>
      <c r="AD11" s="7"/>
      <c r="AE11" s="5"/>
      <c r="AF11" s="6"/>
      <c r="AG11" s="6"/>
      <c r="AH11" s="7"/>
      <c r="AI11" s="5"/>
      <c r="AJ11" s="6"/>
      <c r="AK11" s="6"/>
      <c r="AL11" s="7"/>
      <c r="AM11" s="5"/>
      <c r="AN11" s="6"/>
      <c r="AO11" s="6"/>
      <c r="AP11" s="8"/>
      <c r="AQ11" s="9"/>
      <c r="AR11" s="6"/>
      <c r="AS11" s="6"/>
      <c r="AT11" s="7"/>
      <c r="AU11" s="5"/>
      <c r="AV11" s="6"/>
      <c r="AW11" s="6"/>
      <c r="AX11" s="7"/>
      <c r="AY11" s="5"/>
      <c r="AZ11" s="6"/>
      <c r="BA11" s="6"/>
      <c r="BB11" s="7"/>
      <c r="BD11" s="40" t="s">
        <v>531</v>
      </c>
      <c r="BE11" s="40"/>
      <c r="BF11" s="40"/>
      <c r="BG11" s="40"/>
      <c r="BH11" s="41" t="s">
        <v>532</v>
      </c>
      <c r="BI11" s="41"/>
      <c r="BJ11" s="41"/>
      <c r="BK11" s="41"/>
      <c r="BL11" s="41" t="s">
        <v>533</v>
      </c>
      <c r="BM11" s="41"/>
      <c r="BN11" s="41"/>
      <c r="BO11" s="41"/>
      <c r="BP11" s="42" t="s">
        <v>534</v>
      </c>
      <c r="BQ11" s="42"/>
      <c r="BR11" s="42"/>
      <c r="BS11" s="42"/>
    </row>
    <row r="12" spans="3:71" ht="36" customHeight="1" x14ac:dyDescent="0.2">
      <c r="C12" s="10"/>
      <c r="D12" s="11"/>
      <c r="E12" s="11"/>
      <c r="F12" s="12"/>
      <c r="G12" s="10"/>
      <c r="H12" s="11"/>
      <c r="I12" s="11"/>
      <c r="J12" s="12"/>
      <c r="K12" s="10"/>
      <c r="L12" s="11"/>
      <c r="M12" s="11"/>
      <c r="N12" s="12"/>
      <c r="O12" s="10"/>
      <c r="P12" s="23">
        <v>91</v>
      </c>
      <c r="Q12" s="11">
        <v>68</v>
      </c>
      <c r="R12" s="12"/>
      <c r="S12" s="10"/>
      <c r="T12" s="23">
        <v>92</v>
      </c>
      <c r="U12" s="11">
        <v>67</v>
      </c>
      <c r="V12" s="12"/>
      <c r="W12" s="10"/>
      <c r="X12" s="23">
        <v>93</v>
      </c>
      <c r="Y12" s="11">
        <v>66</v>
      </c>
      <c r="Z12" s="12"/>
      <c r="AA12" s="10"/>
      <c r="AB12" s="23">
        <v>94</v>
      </c>
      <c r="AC12" s="11">
        <v>65</v>
      </c>
      <c r="AD12" s="12"/>
      <c r="AE12" s="10"/>
      <c r="AF12" s="23">
        <v>95</v>
      </c>
      <c r="AG12" s="11"/>
      <c r="AH12" s="12"/>
      <c r="AI12" s="10"/>
      <c r="AJ12" s="23">
        <v>96</v>
      </c>
      <c r="AK12" s="11"/>
      <c r="AL12" s="12"/>
      <c r="AM12" s="10"/>
      <c r="AN12" s="11"/>
      <c r="AO12" s="11"/>
      <c r="AP12" s="13"/>
      <c r="AQ12" s="14"/>
      <c r="AR12" s="11"/>
      <c r="AS12" s="11"/>
      <c r="AT12" s="12"/>
      <c r="AU12" s="10"/>
      <c r="AV12" s="11"/>
      <c r="AW12" s="11"/>
      <c r="AX12" s="12"/>
      <c r="AY12" s="10"/>
      <c r="AZ12" s="11"/>
      <c r="BA12" s="11"/>
      <c r="BB12" s="12"/>
      <c r="BD12" s="40"/>
      <c r="BE12" s="40"/>
      <c r="BF12" s="40"/>
      <c r="BG12" s="40"/>
      <c r="BH12" s="41"/>
      <c r="BI12" s="41"/>
      <c r="BJ12" s="41"/>
      <c r="BK12" s="41"/>
      <c r="BL12" s="41"/>
      <c r="BM12" s="41"/>
      <c r="BN12" s="41"/>
      <c r="BO12" s="41"/>
      <c r="BP12" s="42"/>
      <c r="BQ12" s="42"/>
      <c r="BR12" s="42"/>
      <c r="BS12" s="42"/>
    </row>
    <row r="13" spans="3:71" ht="36" customHeight="1" x14ac:dyDescent="0.2">
      <c r="C13" s="15">
        <v>0</v>
      </c>
      <c r="D13" s="11"/>
      <c r="E13" s="11"/>
      <c r="F13" s="12"/>
      <c r="G13" s="15">
        <v>1</v>
      </c>
      <c r="H13" s="11"/>
      <c r="I13" s="11"/>
      <c r="J13" s="12"/>
      <c r="K13" s="15">
        <v>2</v>
      </c>
      <c r="L13" s="11"/>
      <c r="M13" s="11"/>
      <c r="N13" s="12"/>
      <c r="O13" s="15">
        <v>3</v>
      </c>
      <c r="P13" s="11">
        <v>0</v>
      </c>
      <c r="Q13" s="11">
        <v>0</v>
      </c>
      <c r="R13" s="12">
        <v>0</v>
      </c>
      <c r="S13" s="15">
        <v>4</v>
      </c>
      <c r="T13" s="11">
        <v>2</v>
      </c>
      <c r="U13" s="11">
        <v>0</v>
      </c>
      <c r="V13" s="12">
        <v>4</v>
      </c>
      <c r="W13" s="15">
        <v>5</v>
      </c>
      <c r="X13" s="11">
        <v>2</v>
      </c>
      <c r="Y13" s="11">
        <v>1</v>
      </c>
      <c r="Z13" s="12">
        <v>2</v>
      </c>
      <c r="AA13" s="15">
        <v>6</v>
      </c>
      <c r="AB13" s="11">
        <v>17</v>
      </c>
      <c r="AC13" s="11">
        <v>12</v>
      </c>
      <c r="AD13" s="12">
        <v>2</v>
      </c>
      <c r="AE13" s="15">
        <v>7</v>
      </c>
      <c r="AF13" s="11">
        <v>3</v>
      </c>
      <c r="AG13" s="11">
        <v>3</v>
      </c>
      <c r="AH13" s="12">
        <v>0</v>
      </c>
      <c r="AI13" s="15">
        <v>8</v>
      </c>
      <c r="AJ13" s="11">
        <v>11</v>
      </c>
      <c r="AK13" s="11">
        <v>3</v>
      </c>
      <c r="AL13" s="12">
        <v>1</v>
      </c>
      <c r="AM13" s="15">
        <v>9</v>
      </c>
      <c r="AN13" s="11"/>
      <c r="AO13" s="11"/>
      <c r="AP13" s="13"/>
      <c r="AQ13" s="16">
        <v>10</v>
      </c>
      <c r="AR13" s="11"/>
      <c r="AS13" s="11"/>
      <c r="AT13" s="12"/>
      <c r="AU13" s="15">
        <v>11</v>
      </c>
      <c r="AV13" s="11"/>
      <c r="AW13" s="11"/>
      <c r="AX13" s="12"/>
      <c r="AY13" s="15">
        <v>12</v>
      </c>
      <c r="AZ13" s="11"/>
      <c r="BA13" s="11"/>
      <c r="BB13" s="12"/>
      <c r="BD13" s="40"/>
      <c r="BE13" s="40"/>
      <c r="BF13" s="40"/>
      <c r="BG13" s="40"/>
      <c r="BH13" s="41"/>
      <c r="BI13" s="41"/>
      <c r="BJ13" s="41"/>
      <c r="BK13" s="41"/>
      <c r="BL13" s="41"/>
      <c r="BM13" s="41"/>
      <c r="BN13" s="41"/>
      <c r="BO13" s="41"/>
      <c r="BP13" s="42"/>
      <c r="BQ13" s="42"/>
      <c r="BR13" s="42"/>
      <c r="BS13" s="42"/>
    </row>
    <row r="14" spans="3:71" ht="36" customHeight="1" x14ac:dyDescent="0.2">
      <c r="C14" s="17">
        <v>34</v>
      </c>
      <c r="D14" s="18"/>
      <c r="E14" s="19">
        <v>9</v>
      </c>
      <c r="F14" s="20">
        <v>8</v>
      </c>
      <c r="G14" s="17">
        <v>32</v>
      </c>
      <c r="H14" s="18"/>
      <c r="I14" s="19">
        <v>9</v>
      </c>
      <c r="J14" s="20">
        <v>8</v>
      </c>
      <c r="K14" s="17">
        <v>30</v>
      </c>
      <c r="L14" s="18"/>
      <c r="M14" s="19">
        <v>9</v>
      </c>
      <c r="N14" s="20">
        <v>8</v>
      </c>
      <c r="O14" s="17">
        <v>28</v>
      </c>
      <c r="P14" s="18"/>
      <c r="Q14" s="19">
        <v>9</v>
      </c>
      <c r="R14" s="20">
        <v>8</v>
      </c>
      <c r="S14" s="17">
        <v>26</v>
      </c>
      <c r="T14" s="18"/>
      <c r="U14" s="19">
        <v>9</v>
      </c>
      <c r="V14" s="20">
        <v>8</v>
      </c>
      <c r="W14" s="17">
        <v>24</v>
      </c>
      <c r="X14" s="18"/>
      <c r="Y14" s="19">
        <v>9</v>
      </c>
      <c r="Z14" s="20">
        <v>8</v>
      </c>
      <c r="AA14" s="17">
        <v>22</v>
      </c>
      <c r="AB14" s="18"/>
      <c r="AC14" s="19">
        <v>9</v>
      </c>
      <c r="AD14" s="20">
        <v>8</v>
      </c>
      <c r="AE14" s="17">
        <v>20</v>
      </c>
      <c r="AF14" s="18"/>
      <c r="AG14" s="19">
        <v>9</v>
      </c>
      <c r="AH14" s="20">
        <v>8</v>
      </c>
      <c r="AI14" s="17">
        <v>18</v>
      </c>
      <c r="AJ14" s="18"/>
      <c r="AK14" s="19">
        <v>9</v>
      </c>
      <c r="AL14" s="20">
        <v>8</v>
      </c>
      <c r="AM14" s="17">
        <v>16</v>
      </c>
      <c r="AN14" s="18"/>
      <c r="AO14" s="19">
        <v>9</v>
      </c>
      <c r="AP14" s="21">
        <v>8</v>
      </c>
      <c r="AQ14" s="22">
        <v>14</v>
      </c>
      <c r="AR14" s="18"/>
      <c r="AS14" s="19">
        <v>9</v>
      </c>
      <c r="AT14" s="20">
        <v>8</v>
      </c>
      <c r="AU14" s="17">
        <v>12</v>
      </c>
      <c r="AV14" s="18"/>
      <c r="AW14" s="19">
        <v>9</v>
      </c>
      <c r="AX14" s="20">
        <v>8</v>
      </c>
      <c r="AY14" s="17">
        <v>10</v>
      </c>
      <c r="AZ14" s="18"/>
      <c r="BA14" s="19">
        <v>9</v>
      </c>
      <c r="BB14" s="20">
        <v>8</v>
      </c>
      <c r="BD14" s="40"/>
      <c r="BE14" s="40"/>
      <c r="BF14" s="40"/>
      <c r="BG14" s="40"/>
      <c r="BH14" s="41"/>
      <c r="BI14" s="41"/>
      <c r="BJ14" s="41"/>
      <c r="BK14" s="41"/>
      <c r="BL14" s="41"/>
      <c r="BM14" s="41"/>
      <c r="BN14" s="41"/>
      <c r="BO14" s="41"/>
      <c r="BP14" s="42"/>
      <c r="BQ14" s="42"/>
      <c r="BR14" s="42"/>
      <c r="BS14" s="42"/>
    </row>
    <row r="15" spans="3:71" ht="36" customHeight="1" x14ac:dyDescent="0.2">
      <c r="C15" s="5"/>
      <c r="D15" s="6"/>
      <c r="E15" s="6"/>
      <c r="F15" s="7"/>
      <c r="G15" s="5"/>
      <c r="H15" s="6"/>
      <c r="I15" s="6"/>
      <c r="J15" s="7"/>
      <c r="K15" s="5"/>
      <c r="L15" s="6"/>
      <c r="M15" s="6"/>
      <c r="N15" s="7"/>
      <c r="O15" s="5"/>
      <c r="P15" s="6"/>
      <c r="Q15" s="6"/>
      <c r="R15" s="7"/>
      <c r="S15" s="5"/>
      <c r="T15" s="6"/>
      <c r="U15" s="6"/>
      <c r="V15" s="7"/>
      <c r="W15" s="5"/>
      <c r="X15" s="6"/>
      <c r="Y15" s="6"/>
      <c r="Z15" s="7"/>
      <c r="AA15" s="5"/>
      <c r="AB15" s="6"/>
      <c r="AC15" s="6"/>
      <c r="AD15" s="7"/>
      <c r="AE15" s="5"/>
      <c r="AF15" s="6"/>
      <c r="AG15" s="6"/>
      <c r="AH15" s="7"/>
      <c r="AI15" s="5"/>
      <c r="AJ15" s="6"/>
      <c r="AK15" s="6"/>
      <c r="AL15" s="7"/>
      <c r="AM15" s="5"/>
      <c r="AN15" s="6"/>
      <c r="AO15" s="6"/>
      <c r="AP15" s="8"/>
      <c r="AQ15" s="9"/>
      <c r="AR15" s="6"/>
      <c r="AS15" s="6"/>
      <c r="AT15" s="7"/>
      <c r="AU15" s="5"/>
      <c r="AV15" s="6"/>
      <c r="AW15" s="6"/>
      <c r="AX15" s="7"/>
      <c r="AY15" s="5"/>
      <c r="AZ15" s="6"/>
      <c r="BA15" s="6"/>
      <c r="BB15" s="7"/>
      <c r="BD15" s="43" t="s">
        <v>535</v>
      </c>
      <c r="BE15" s="43"/>
      <c r="BF15" s="43"/>
      <c r="BG15" s="43"/>
      <c r="BH15" s="44"/>
      <c r="BI15" s="44"/>
      <c r="BJ15" s="44"/>
      <c r="BK15" s="44"/>
      <c r="BL15" s="45" t="s">
        <v>536</v>
      </c>
      <c r="BM15" s="45"/>
      <c r="BN15" s="45"/>
      <c r="BO15" s="45"/>
      <c r="BP15" s="46" t="s">
        <v>537</v>
      </c>
      <c r="BQ15" s="46"/>
      <c r="BR15" s="46"/>
      <c r="BS15" s="46"/>
    </row>
    <row r="16" spans="3:71" ht="36" customHeight="1" x14ac:dyDescent="0.2">
      <c r="C16" s="10"/>
      <c r="D16" s="11"/>
      <c r="E16" s="24"/>
      <c r="F16" s="12"/>
      <c r="G16" s="10"/>
      <c r="H16" s="11"/>
      <c r="I16" s="24"/>
      <c r="J16" s="12"/>
      <c r="K16" s="10"/>
      <c r="L16" s="11"/>
      <c r="M16" s="24"/>
      <c r="N16" s="12"/>
      <c r="O16" s="10"/>
      <c r="P16" s="23">
        <v>83</v>
      </c>
      <c r="Q16" s="24">
        <v>42</v>
      </c>
      <c r="R16" s="12"/>
      <c r="S16" s="10"/>
      <c r="T16" s="23">
        <v>84</v>
      </c>
      <c r="U16" s="24">
        <v>43</v>
      </c>
      <c r="V16" s="12"/>
      <c r="W16" s="10"/>
      <c r="X16" s="23">
        <v>85</v>
      </c>
      <c r="Y16" s="11">
        <v>44</v>
      </c>
      <c r="Z16" s="12"/>
      <c r="AA16" s="10"/>
      <c r="AB16" s="23">
        <v>86</v>
      </c>
      <c r="AC16" s="11">
        <v>45</v>
      </c>
      <c r="AD16" s="12"/>
      <c r="AE16" s="10"/>
      <c r="AF16" s="23">
        <v>87</v>
      </c>
      <c r="AG16" s="11">
        <v>46</v>
      </c>
      <c r="AH16" s="12"/>
      <c r="AI16" s="10"/>
      <c r="AJ16" s="23">
        <v>88</v>
      </c>
      <c r="AK16" s="11">
        <v>47</v>
      </c>
      <c r="AL16" s="12"/>
      <c r="AM16" s="10"/>
      <c r="AN16" s="23">
        <v>89</v>
      </c>
      <c r="AO16" s="11">
        <v>64</v>
      </c>
      <c r="AP16" s="13"/>
      <c r="AQ16" s="14"/>
      <c r="AR16" s="23">
        <v>90</v>
      </c>
      <c r="AS16" s="24"/>
      <c r="AT16" s="12"/>
      <c r="AU16" s="10"/>
      <c r="AV16" s="11"/>
      <c r="AW16" s="11"/>
      <c r="AX16" s="12"/>
      <c r="AY16" s="10"/>
      <c r="AZ16" s="11"/>
      <c r="BA16" s="11"/>
      <c r="BB16" s="12"/>
      <c r="BD16" s="43"/>
      <c r="BE16" s="43"/>
      <c r="BF16" s="43"/>
      <c r="BG16" s="43"/>
      <c r="BH16" s="44"/>
      <c r="BI16" s="44"/>
      <c r="BJ16" s="44"/>
      <c r="BK16" s="44"/>
      <c r="BL16" s="45"/>
      <c r="BM16" s="45"/>
      <c r="BN16" s="45"/>
      <c r="BO16" s="45"/>
      <c r="BP16" s="46"/>
      <c r="BQ16" s="46"/>
      <c r="BR16" s="46"/>
      <c r="BS16" s="46"/>
    </row>
    <row r="17" spans="1:71" ht="36" customHeight="1" x14ac:dyDescent="0.2">
      <c r="C17" s="15">
        <v>0</v>
      </c>
      <c r="D17" s="11"/>
      <c r="E17" s="24"/>
      <c r="F17" s="12"/>
      <c r="G17" s="15">
        <v>1</v>
      </c>
      <c r="H17" s="11"/>
      <c r="I17" s="24"/>
      <c r="J17" s="12"/>
      <c r="K17" s="15">
        <v>2</v>
      </c>
      <c r="L17" s="11"/>
      <c r="M17" s="24"/>
      <c r="N17" s="12"/>
      <c r="O17" s="15">
        <v>3</v>
      </c>
      <c r="P17" s="11">
        <v>0</v>
      </c>
      <c r="Q17" s="24">
        <v>0</v>
      </c>
      <c r="R17" s="12">
        <v>0</v>
      </c>
      <c r="S17" s="15">
        <v>4</v>
      </c>
      <c r="T17" s="11">
        <v>0</v>
      </c>
      <c r="U17" s="24">
        <v>0</v>
      </c>
      <c r="V17" s="12">
        <v>0</v>
      </c>
      <c r="W17" s="15">
        <v>5</v>
      </c>
      <c r="X17" s="11">
        <v>1</v>
      </c>
      <c r="Y17" s="11">
        <v>1</v>
      </c>
      <c r="Z17" s="12">
        <v>0</v>
      </c>
      <c r="AA17" s="15">
        <v>6</v>
      </c>
      <c r="AB17" s="11">
        <v>5</v>
      </c>
      <c r="AC17" s="11">
        <v>2</v>
      </c>
      <c r="AD17" s="12"/>
      <c r="AE17" s="15">
        <v>7</v>
      </c>
      <c r="AF17" s="11">
        <v>9</v>
      </c>
      <c r="AG17" s="11">
        <v>7</v>
      </c>
      <c r="AH17" s="12">
        <v>3</v>
      </c>
      <c r="AI17" s="15">
        <v>8</v>
      </c>
      <c r="AJ17" s="11">
        <v>18</v>
      </c>
      <c r="AK17" s="11">
        <v>11</v>
      </c>
      <c r="AL17" s="12">
        <v>3</v>
      </c>
      <c r="AM17" s="15">
        <v>9</v>
      </c>
      <c r="AN17" s="11">
        <v>5</v>
      </c>
      <c r="AO17" s="11">
        <v>3</v>
      </c>
      <c r="AP17" s="13">
        <v>0</v>
      </c>
      <c r="AQ17" s="16">
        <v>10</v>
      </c>
      <c r="AR17" s="11">
        <v>4</v>
      </c>
      <c r="AS17" s="24">
        <v>1</v>
      </c>
      <c r="AT17" s="12">
        <v>0</v>
      </c>
      <c r="AU17" s="15">
        <v>11</v>
      </c>
      <c r="AV17" s="11"/>
      <c r="AW17" s="11"/>
      <c r="AX17" s="12"/>
      <c r="AY17" s="15">
        <v>12</v>
      </c>
      <c r="AZ17" s="11"/>
      <c r="BA17" s="11"/>
      <c r="BB17" s="12"/>
      <c r="BD17" s="43"/>
      <c r="BE17" s="43"/>
      <c r="BF17" s="43"/>
      <c r="BG17" s="43"/>
      <c r="BH17" s="44"/>
      <c r="BI17" s="44"/>
      <c r="BJ17" s="44"/>
      <c r="BK17" s="44"/>
      <c r="BL17" s="45"/>
      <c r="BM17" s="45"/>
      <c r="BN17" s="45"/>
      <c r="BO17" s="45"/>
      <c r="BP17" s="46"/>
      <c r="BQ17" s="46"/>
      <c r="BR17" s="46"/>
      <c r="BS17" s="46"/>
    </row>
    <row r="18" spans="1:71" ht="36" customHeight="1" x14ac:dyDescent="0.2">
      <c r="C18" s="17">
        <v>34</v>
      </c>
      <c r="D18" s="18"/>
      <c r="E18" s="19">
        <v>8</v>
      </c>
      <c r="F18" s="20">
        <v>6</v>
      </c>
      <c r="G18" s="17">
        <v>32</v>
      </c>
      <c r="H18" s="18"/>
      <c r="I18" s="19">
        <v>8</v>
      </c>
      <c r="J18" s="20">
        <v>6</v>
      </c>
      <c r="K18" s="17">
        <v>30</v>
      </c>
      <c r="L18" s="18"/>
      <c r="M18" s="19">
        <v>8</v>
      </c>
      <c r="N18" s="20">
        <v>6</v>
      </c>
      <c r="O18" s="17">
        <v>28</v>
      </c>
      <c r="P18" s="18"/>
      <c r="Q18" s="19">
        <v>8</v>
      </c>
      <c r="R18" s="20">
        <v>6</v>
      </c>
      <c r="S18" s="17">
        <v>26</v>
      </c>
      <c r="T18" s="18"/>
      <c r="U18" s="19">
        <v>8</v>
      </c>
      <c r="V18" s="20">
        <v>6</v>
      </c>
      <c r="W18" s="17">
        <v>24</v>
      </c>
      <c r="X18" s="18"/>
      <c r="Y18" s="19">
        <v>8</v>
      </c>
      <c r="Z18" s="20">
        <v>6</v>
      </c>
      <c r="AA18" s="17">
        <v>22</v>
      </c>
      <c r="AB18" s="18"/>
      <c r="AC18" s="19">
        <v>8</v>
      </c>
      <c r="AD18" s="20">
        <v>6</v>
      </c>
      <c r="AE18" s="17">
        <v>20</v>
      </c>
      <c r="AF18" s="18"/>
      <c r="AG18" s="19">
        <v>8</v>
      </c>
      <c r="AH18" s="20">
        <v>6</v>
      </c>
      <c r="AI18" s="17">
        <v>18</v>
      </c>
      <c r="AJ18" s="18"/>
      <c r="AK18" s="19">
        <v>8</v>
      </c>
      <c r="AL18" s="20">
        <v>6</v>
      </c>
      <c r="AM18" s="17">
        <v>16</v>
      </c>
      <c r="AN18" s="18"/>
      <c r="AO18" s="19">
        <v>8</v>
      </c>
      <c r="AP18" s="21">
        <v>6</v>
      </c>
      <c r="AQ18" s="22">
        <v>14</v>
      </c>
      <c r="AR18" s="18"/>
      <c r="AS18" s="19">
        <v>8</v>
      </c>
      <c r="AT18" s="20">
        <v>6</v>
      </c>
      <c r="AU18" s="17">
        <v>12</v>
      </c>
      <c r="AV18" s="18"/>
      <c r="AW18" s="19">
        <v>8</v>
      </c>
      <c r="AX18" s="20">
        <v>6</v>
      </c>
      <c r="AY18" s="17">
        <v>10</v>
      </c>
      <c r="AZ18" s="18"/>
      <c r="BA18" s="19">
        <v>8</v>
      </c>
      <c r="BB18" s="20">
        <v>6</v>
      </c>
      <c r="BD18" s="43"/>
      <c r="BE18" s="43"/>
      <c r="BF18" s="43"/>
      <c r="BG18" s="43"/>
      <c r="BH18" s="44"/>
      <c r="BI18" s="44"/>
      <c r="BJ18" s="44"/>
      <c r="BK18" s="44"/>
      <c r="BL18" s="45"/>
      <c r="BM18" s="45"/>
      <c r="BN18" s="45"/>
      <c r="BO18" s="45"/>
      <c r="BP18" s="46"/>
      <c r="BQ18" s="46"/>
      <c r="BR18" s="46"/>
      <c r="BS18" s="46"/>
    </row>
    <row r="19" spans="1:71" ht="36" customHeight="1" x14ac:dyDescent="0.2">
      <c r="C19" s="5"/>
      <c r="D19" s="6"/>
      <c r="E19" s="6"/>
      <c r="F19" s="7"/>
      <c r="G19" s="5"/>
      <c r="H19" s="6"/>
      <c r="I19" s="6"/>
      <c r="J19" s="7"/>
      <c r="K19" s="5"/>
      <c r="L19" s="6"/>
      <c r="M19" s="6"/>
      <c r="N19" s="7"/>
      <c r="O19" s="5"/>
      <c r="P19" s="6"/>
      <c r="Q19" s="6"/>
      <c r="R19" s="7"/>
      <c r="S19" s="5"/>
      <c r="T19" s="6"/>
      <c r="U19" s="6"/>
      <c r="V19" s="7"/>
      <c r="W19" s="5"/>
      <c r="X19" s="6"/>
      <c r="Y19" s="6"/>
      <c r="Z19" s="7"/>
      <c r="AA19" s="5"/>
      <c r="AB19" s="6"/>
      <c r="AC19" s="6"/>
      <c r="AD19" s="7"/>
      <c r="AE19" s="5"/>
      <c r="AF19" s="6"/>
      <c r="AG19" s="6"/>
      <c r="AH19" s="7"/>
      <c r="AI19" s="5"/>
      <c r="AJ19" s="6"/>
      <c r="AK19" s="6"/>
      <c r="AL19" s="7"/>
      <c r="AM19" s="5"/>
      <c r="AN19" s="6"/>
      <c r="AO19" s="6"/>
      <c r="AP19" s="8"/>
      <c r="AQ19" s="9"/>
      <c r="AR19" s="6"/>
      <c r="AS19" s="6"/>
      <c r="AT19" s="7"/>
      <c r="AU19" s="5"/>
      <c r="AV19" s="6"/>
      <c r="AW19" s="6"/>
      <c r="AX19" s="7"/>
      <c r="AY19" s="5"/>
      <c r="AZ19" s="6"/>
      <c r="BA19" s="6"/>
      <c r="BB19" s="7"/>
    </row>
    <row r="20" spans="1:71" ht="36" customHeight="1" x14ac:dyDescent="0.2">
      <c r="C20" s="10"/>
      <c r="D20" s="11"/>
      <c r="E20" s="11"/>
      <c r="F20" s="12"/>
      <c r="G20" s="10"/>
      <c r="H20" s="11"/>
      <c r="I20" s="11"/>
      <c r="J20" s="12"/>
      <c r="K20" s="10"/>
      <c r="L20" s="11"/>
      <c r="M20" s="11"/>
      <c r="N20" s="12"/>
      <c r="O20" s="10"/>
      <c r="P20" s="23">
        <v>74</v>
      </c>
      <c r="Q20" s="11">
        <v>41</v>
      </c>
      <c r="R20" s="12"/>
      <c r="S20" s="10"/>
      <c r="T20" s="23">
        <v>75</v>
      </c>
      <c r="U20" s="11">
        <v>40</v>
      </c>
      <c r="V20" s="12"/>
      <c r="W20" s="10"/>
      <c r="X20" s="23">
        <v>76</v>
      </c>
      <c r="Y20" s="11">
        <v>39</v>
      </c>
      <c r="Z20" s="12"/>
      <c r="AA20" s="10"/>
      <c r="AB20" s="23">
        <v>77</v>
      </c>
      <c r="AC20" s="11">
        <v>38</v>
      </c>
      <c r="AD20" s="12"/>
      <c r="AE20" s="10"/>
      <c r="AF20" s="23">
        <v>78</v>
      </c>
      <c r="AG20" s="11">
        <v>37</v>
      </c>
      <c r="AH20" s="12"/>
      <c r="AI20" s="10"/>
      <c r="AJ20" s="23">
        <v>79</v>
      </c>
      <c r="AK20" s="11">
        <v>36</v>
      </c>
      <c r="AL20" s="12"/>
      <c r="AM20" s="10"/>
      <c r="AN20" s="23">
        <v>80</v>
      </c>
      <c r="AO20" s="11">
        <v>35</v>
      </c>
      <c r="AP20" s="13"/>
      <c r="AQ20" s="14"/>
      <c r="AR20" s="23">
        <v>81</v>
      </c>
      <c r="AS20" s="11">
        <v>61</v>
      </c>
      <c r="AT20" s="12"/>
      <c r="AU20" s="10"/>
      <c r="AV20" s="23">
        <v>82</v>
      </c>
      <c r="AW20" s="11">
        <v>62</v>
      </c>
      <c r="AX20" s="12"/>
      <c r="AY20" s="10"/>
      <c r="AZ20" s="11"/>
      <c r="BA20" s="11"/>
      <c r="BB20" s="12"/>
      <c r="BD20" s="38" t="s">
        <v>63</v>
      </c>
      <c r="BE20" s="38"/>
      <c r="BF20" s="38"/>
      <c r="BG20" s="38"/>
      <c r="BH20" s="38"/>
    </row>
    <row r="21" spans="1:71" ht="36" customHeight="1" x14ac:dyDescent="0.2">
      <c r="C21" s="15">
        <v>0</v>
      </c>
      <c r="D21" s="11"/>
      <c r="E21" s="11"/>
      <c r="F21" s="12"/>
      <c r="G21" s="15">
        <v>1</v>
      </c>
      <c r="H21" s="11"/>
      <c r="I21" s="11"/>
      <c r="J21" s="12"/>
      <c r="K21" s="15">
        <v>2</v>
      </c>
      <c r="L21" s="11"/>
      <c r="M21" s="11"/>
      <c r="N21" s="12"/>
      <c r="O21" s="15">
        <v>3</v>
      </c>
      <c r="P21" s="11">
        <v>0</v>
      </c>
      <c r="Q21" s="11">
        <v>0</v>
      </c>
      <c r="R21" s="12"/>
      <c r="S21" s="15">
        <v>4</v>
      </c>
      <c r="T21" s="11">
        <v>0</v>
      </c>
      <c r="U21" s="11">
        <v>0</v>
      </c>
      <c r="V21" s="12"/>
      <c r="W21" s="15">
        <v>5</v>
      </c>
      <c r="X21" s="11">
        <v>0</v>
      </c>
      <c r="Y21" s="11">
        <v>0</v>
      </c>
      <c r="Z21" s="12"/>
      <c r="AA21" s="15">
        <v>6</v>
      </c>
      <c r="AB21" s="11">
        <v>0</v>
      </c>
      <c r="AC21" s="11">
        <v>0</v>
      </c>
      <c r="AD21" s="12">
        <v>1</v>
      </c>
      <c r="AE21" s="15">
        <v>7</v>
      </c>
      <c r="AF21" s="11">
        <v>6</v>
      </c>
      <c r="AG21" s="11">
        <v>1</v>
      </c>
      <c r="AH21" s="12">
        <v>6</v>
      </c>
      <c r="AI21" s="15">
        <v>8</v>
      </c>
      <c r="AJ21" s="11">
        <v>9</v>
      </c>
      <c r="AK21" s="11">
        <v>6</v>
      </c>
      <c r="AL21" s="12">
        <v>4</v>
      </c>
      <c r="AM21" s="15">
        <v>9</v>
      </c>
      <c r="AN21" s="11">
        <v>5</v>
      </c>
      <c r="AO21" s="11">
        <v>3</v>
      </c>
      <c r="AP21" s="13">
        <v>5</v>
      </c>
      <c r="AQ21" s="16">
        <v>10</v>
      </c>
      <c r="AR21" s="11">
        <v>8</v>
      </c>
      <c r="AS21" s="11">
        <v>7</v>
      </c>
      <c r="AT21" s="12">
        <v>0</v>
      </c>
      <c r="AU21" s="15">
        <v>11</v>
      </c>
      <c r="AV21" s="11">
        <v>10</v>
      </c>
      <c r="AW21" s="11">
        <v>7</v>
      </c>
      <c r="AX21" s="12">
        <v>2</v>
      </c>
      <c r="AY21" s="15">
        <v>12</v>
      </c>
      <c r="AZ21" s="11"/>
      <c r="BA21" s="11"/>
      <c r="BB21" s="12"/>
      <c r="BD21" s="38"/>
      <c r="BE21" s="38"/>
      <c r="BF21" s="38"/>
      <c r="BG21" s="38"/>
      <c r="BH21" s="38"/>
    </row>
    <row r="22" spans="1:71" ht="36" customHeight="1" x14ac:dyDescent="0.2">
      <c r="A22" s="2"/>
      <c r="C22" s="17">
        <v>34</v>
      </c>
      <c r="D22" s="18"/>
      <c r="E22" s="19">
        <v>7</v>
      </c>
      <c r="F22" s="20">
        <v>4</v>
      </c>
      <c r="G22" s="17">
        <v>32</v>
      </c>
      <c r="H22" s="18"/>
      <c r="I22" s="19">
        <v>7</v>
      </c>
      <c r="J22" s="20">
        <v>4</v>
      </c>
      <c r="K22" s="17">
        <v>30</v>
      </c>
      <c r="L22" s="18"/>
      <c r="M22" s="19">
        <v>7</v>
      </c>
      <c r="N22" s="20">
        <v>4</v>
      </c>
      <c r="O22" s="17">
        <v>28</v>
      </c>
      <c r="P22" s="18"/>
      <c r="Q22" s="19">
        <v>7</v>
      </c>
      <c r="R22" s="20">
        <v>4</v>
      </c>
      <c r="S22" s="17">
        <v>26</v>
      </c>
      <c r="T22" s="18"/>
      <c r="U22" s="19">
        <v>7</v>
      </c>
      <c r="V22" s="20">
        <v>4</v>
      </c>
      <c r="W22" s="17">
        <v>24</v>
      </c>
      <c r="X22" s="18"/>
      <c r="Y22" s="19">
        <v>7</v>
      </c>
      <c r="Z22" s="20">
        <v>4</v>
      </c>
      <c r="AA22" s="17">
        <v>22</v>
      </c>
      <c r="AB22" s="18"/>
      <c r="AC22" s="19">
        <v>7</v>
      </c>
      <c r="AD22" s="20">
        <v>4</v>
      </c>
      <c r="AE22" s="17">
        <v>20</v>
      </c>
      <c r="AF22" s="18"/>
      <c r="AG22" s="19">
        <v>7</v>
      </c>
      <c r="AH22" s="20">
        <v>4</v>
      </c>
      <c r="AI22" s="17">
        <v>18</v>
      </c>
      <c r="AJ22" s="18"/>
      <c r="AK22" s="19">
        <v>7</v>
      </c>
      <c r="AL22" s="20">
        <v>4</v>
      </c>
      <c r="AM22" s="17">
        <v>16</v>
      </c>
      <c r="AN22" s="18"/>
      <c r="AO22" s="19">
        <v>7</v>
      </c>
      <c r="AP22" s="21">
        <v>4</v>
      </c>
      <c r="AQ22" s="22">
        <v>14</v>
      </c>
      <c r="AR22" s="18"/>
      <c r="AS22" s="19">
        <v>7</v>
      </c>
      <c r="AT22" s="20">
        <v>4</v>
      </c>
      <c r="AU22" s="17">
        <v>12</v>
      </c>
      <c r="AV22" s="18"/>
      <c r="AW22" s="19">
        <v>7</v>
      </c>
      <c r="AX22" s="20">
        <v>4</v>
      </c>
      <c r="AY22" s="17">
        <v>10</v>
      </c>
      <c r="AZ22" s="18"/>
      <c r="BA22" s="19">
        <v>7</v>
      </c>
      <c r="BB22" s="20">
        <v>4</v>
      </c>
      <c r="BD22" s="38"/>
      <c r="BE22" s="38"/>
      <c r="BF22" s="38"/>
      <c r="BG22" s="38"/>
      <c r="BH22" s="38"/>
    </row>
    <row r="23" spans="1:71" ht="36" customHeight="1" x14ac:dyDescent="0.2">
      <c r="C23" s="5"/>
      <c r="D23" s="6"/>
      <c r="E23" s="6"/>
      <c r="F23" s="7"/>
      <c r="G23" s="5"/>
      <c r="H23" s="6"/>
      <c r="I23" s="6"/>
      <c r="J23" s="7"/>
      <c r="K23" s="5"/>
      <c r="L23" s="6"/>
      <c r="M23" s="6"/>
      <c r="N23" s="7"/>
      <c r="O23" s="5"/>
      <c r="P23" s="6"/>
      <c r="Q23" s="6"/>
      <c r="R23" s="7"/>
      <c r="S23" s="5"/>
      <c r="T23" s="6"/>
      <c r="U23" s="6"/>
      <c r="V23" s="7"/>
      <c r="W23" s="5"/>
      <c r="X23" s="6"/>
      <c r="Y23" s="6"/>
      <c r="Z23" s="7"/>
      <c r="AA23" s="5"/>
      <c r="AB23" s="6"/>
      <c r="AC23" s="6"/>
      <c r="AD23" s="7"/>
      <c r="AE23" s="5"/>
      <c r="AF23" s="6"/>
      <c r="AG23" s="6"/>
      <c r="AH23" s="7"/>
      <c r="AI23" s="5"/>
      <c r="AJ23" s="6"/>
      <c r="AK23" s="6"/>
      <c r="AL23" s="7"/>
      <c r="AM23" s="5"/>
      <c r="AN23" s="6"/>
      <c r="AO23" s="6"/>
      <c r="AP23" s="8"/>
      <c r="AQ23" s="9"/>
      <c r="AR23" s="6"/>
      <c r="AS23" s="6"/>
      <c r="AT23" s="7"/>
      <c r="AU23" s="5"/>
      <c r="AV23" s="6"/>
      <c r="AW23" s="6"/>
      <c r="AX23" s="7"/>
      <c r="AY23" s="5"/>
      <c r="AZ23" s="6"/>
      <c r="BA23" s="6"/>
      <c r="BB23" s="7"/>
      <c r="BD23" s="38"/>
      <c r="BE23" s="38"/>
      <c r="BF23" s="38"/>
      <c r="BG23" s="38"/>
      <c r="BH23" s="38"/>
    </row>
    <row r="24" spans="1:71" ht="36" customHeight="1" x14ac:dyDescent="0.2">
      <c r="C24" s="10"/>
      <c r="D24" s="11"/>
      <c r="E24" s="11"/>
      <c r="F24" s="12"/>
      <c r="G24" s="10"/>
      <c r="H24" s="11"/>
      <c r="I24" s="11"/>
      <c r="J24" s="12"/>
      <c r="K24" s="10"/>
      <c r="L24" s="11"/>
      <c r="M24" s="11"/>
      <c r="N24" s="12"/>
      <c r="O24" s="10"/>
      <c r="P24" s="11"/>
      <c r="Q24" s="11"/>
      <c r="R24" s="12"/>
      <c r="S24" s="10"/>
      <c r="T24" s="23">
        <v>66</v>
      </c>
      <c r="U24" s="11">
        <v>29</v>
      </c>
      <c r="V24" s="12"/>
      <c r="W24" s="10"/>
      <c r="X24" s="23">
        <v>67</v>
      </c>
      <c r="Y24" s="11">
        <v>30</v>
      </c>
      <c r="Z24" s="12"/>
      <c r="AA24" s="10"/>
      <c r="AB24" s="23">
        <v>68</v>
      </c>
      <c r="AC24" s="11">
        <v>31</v>
      </c>
      <c r="AD24" s="12"/>
      <c r="AE24" s="10"/>
      <c r="AF24" s="23">
        <v>69</v>
      </c>
      <c r="AG24" s="11">
        <v>32</v>
      </c>
      <c r="AH24" s="12"/>
      <c r="AI24" s="10"/>
      <c r="AJ24" s="23">
        <v>70</v>
      </c>
      <c r="AK24" s="11">
        <v>33</v>
      </c>
      <c r="AL24" s="12"/>
      <c r="AM24" s="10"/>
      <c r="AN24" s="23">
        <v>71</v>
      </c>
      <c r="AO24" s="11">
        <v>34</v>
      </c>
      <c r="AP24" s="13"/>
      <c r="AQ24" s="14"/>
      <c r="AR24" s="23">
        <v>72</v>
      </c>
      <c r="AS24" s="11">
        <v>60</v>
      </c>
      <c r="AT24" s="12"/>
      <c r="AU24" s="10"/>
      <c r="AV24" s="23">
        <v>73</v>
      </c>
      <c r="AW24" s="11">
        <v>63</v>
      </c>
      <c r="AX24" s="12"/>
      <c r="AY24" s="10"/>
      <c r="AZ24" s="11"/>
      <c r="BA24" s="11"/>
      <c r="BB24" s="12"/>
      <c r="BD24" s="38"/>
      <c r="BE24" s="38"/>
      <c r="BF24" s="38"/>
      <c r="BG24" s="38"/>
      <c r="BH24" s="38"/>
    </row>
    <row r="25" spans="1:71" ht="36" customHeight="1" x14ac:dyDescent="0.2">
      <c r="C25" s="15">
        <v>0</v>
      </c>
      <c r="D25" s="11"/>
      <c r="E25" s="11"/>
      <c r="F25" s="12"/>
      <c r="G25" s="15">
        <v>1</v>
      </c>
      <c r="H25" s="11"/>
      <c r="I25" s="11"/>
      <c r="J25" s="12"/>
      <c r="K25" s="15">
        <v>2</v>
      </c>
      <c r="L25" s="11"/>
      <c r="M25" s="11"/>
      <c r="N25" s="12"/>
      <c r="O25" s="15">
        <v>3</v>
      </c>
      <c r="P25" s="11"/>
      <c r="Q25" s="11"/>
      <c r="R25" s="12"/>
      <c r="S25" s="15">
        <v>4</v>
      </c>
      <c r="T25" s="11">
        <v>0</v>
      </c>
      <c r="U25" s="11">
        <v>0</v>
      </c>
      <c r="V25" s="12">
        <v>0</v>
      </c>
      <c r="W25" s="15">
        <v>5</v>
      </c>
      <c r="X25" s="11">
        <v>0</v>
      </c>
      <c r="Y25" s="11">
        <v>0</v>
      </c>
      <c r="Z25" s="12">
        <v>0</v>
      </c>
      <c r="AA25" s="15">
        <v>6</v>
      </c>
      <c r="AB25" s="11">
        <v>4</v>
      </c>
      <c r="AC25" s="11">
        <v>3</v>
      </c>
      <c r="AD25" s="12">
        <v>0</v>
      </c>
      <c r="AE25" s="15">
        <v>7</v>
      </c>
      <c r="AF25" s="11">
        <v>14</v>
      </c>
      <c r="AG25" s="11">
        <v>5</v>
      </c>
      <c r="AH25" s="12">
        <v>5</v>
      </c>
      <c r="AI25" s="15">
        <v>8</v>
      </c>
      <c r="AJ25" s="11">
        <v>7</v>
      </c>
      <c r="AK25" s="11">
        <v>3</v>
      </c>
      <c r="AL25" s="12">
        <v>8</v>
      </c>
      <c r="AM25" s="15">
        <v>9</v>
      </c>
      <c r="AN25" s="11">
        <v>1</v>
      </c>
      <c r="AO25" s="11">
        <v>0</v>
      </c>
      <c r="AP25" s="13">
        <v>7</v>
      </c>
      <c r="AQ25" s="16">
        <v>10</v>
      </c>
      <c r="AR25" s="11">
        <v>55</v>
      </c>
      <c r="AS25" s="11">
        <v>23</v>
      </c>
      <c r="AT25" s="12">
        <v>5</v>
      </c>
      <c r="AU25" s="15">
        <v>11</v>
      </c>
      <c r="AV25" s="11">
        <v>22</v>
      </c>
      <c r="AW25" s="11">
        <v>11</v>
      </c>
      <c r="AX25" s="12">
        <v>12</v>
      </c>
      <c r="AY25" s="15">
        <v>12</v>
      </c>
      <c r="AZ25" s="11"/>
      <c r="BA25" s="11"/>
      <c r="BB25" s="12"/>
    </row>
    <row r="26" spans="1:71" ht="36" customHeight="1" x14ac:dyDescent="0.2">
      <c r="C26" s="17">
        <v>34</v>
      </c>
      <c r="D26" s="18"/>
      <c r="E26" s="19">
        <v>6</v>
      </c>
      <c r="F26" s="20">
        <v>2</v>
      </c>
      <c r="G26" s="17">
        <v>32</v>
      </c>
      <c r="H26" s="18"/>
      <c r="I26" s="19">
        <v>6</v>
      </c>
      <c r="J26" s="20">
        <v>2</v>
      </c>
      <c r="K26" s="17">
        <v>30</v>
      </c>
      <c r="L26" s="18"/>
      <c r="M26" s="19">
        <v>6</v>
      </c>
      <c r="N26" s="20">
        <v>2</v>
      </c>
      <c r="O26" s="17">
        <v>28</v>
      </c>
      <c r="P26" s="18"/>
      <c r="Q26" s="19">
        <v>6</v>
      </c>
      <c r="R26" s="20">
        <v>2</v>
      </c>
      <c r="S26" s="17">
        <v>26</v>
      </c>
      <c r="T26" s="18"/>
      <c r="U26" s="19">
        <v>6</v>
      </c>
      <c r="V26" s="20">
        <v>2</v>
      </c>
      <c r="W26" s="17">
        <v>24</v>
      </c>
      <c r="X26" s="18"/>
      <c r="Y26" s="19">
        <v>6</v>
      </c>
      <c r="Z26" s="20">
        <v>2</v>
      </c>
      <c r="AA26" s="17">
        <v>22</v>
      </c>
      <c r="AB26" s="18"/>
      <c r="AC26" s="19">
        <v>6</v>
      </c>
      <c r="AD26" s="20">
        <v>2</v>
      </c>
      <c r="AE26" s="17">
        <v>20</v>
      </c>
      <c r="AF26" s="18"/>
      <c r="AG26" s="19">
        <v>6</v>
      </c>
      <c r="AH26" s="20">
        <v>2</v>
      </c>
      <c r="AI26" s="17">
        <v>18</v>
      </c>
      <c r="AJ26" s="18"/>
      <c r="AK26" s="19">
        <v>6</v>
      </c>
      <c r="AL26" s="20">
        <v>2</v>
      </c>
      <c r="AM26" s="17">
        <v>16</v>
      </c>
      <c r="AN26" s="18"/>
      <c r="AO26" s="19">
        <v>6</v>
      </c>
      <c r="AP26" s="21">
        <v>2</v>
      </c>
      <c r="AQ26" s="22">
        <v>14</v>
      </c>
      <c r="AR26" s="18"/>
      <c r="AS26" s="19">
        <v>6</v>
      </c>
      <c r="AT26" s="20">
        <v>2</v>
      </c>
      <c r="AU26" s="17">
        <v>12</v>
      </c>
      <c r="AV26" s="18"/>
      <c r="AW26" s="19">
        <v>6</v>
      </c>
      <c r="AX26" s="20">
        <v>2</v>
      </c>
      <c r="AY26" s="17">
        <v>10</v>
      </c>
      <c r="AZ26" s="18"/>
      <c r="BA26" s="19">
        <v>6</v>
      </c>
      <c r="BB26" s="20">
        <v>2</v>
      </c>
      <c r="BD26" s="25"/>
      <c r="BE26" s="25"/>
      <c r="BF26" s="25"/>
      <c r="BG26" s="25"/>
    </row>
    <row r="27" spans="1:71" ht="36" customHeight="1" x14ac:dyDescent="0.2">
      <c r="C27" s="5"/>
      <c r="D27" s="6"/>
      <c r="E27" s="6"/>
      <c r="F27" s="7"/>
      <c r="G27" s="5"/>
      <c r="H27" s="6"/>
      <c r="I27" s="6"/>
      <c r="J27" s="7"/>
      <c r="K27" s="5"/>
      <c r="L27" s="6"/>
      <c r="M27" s="6"/>
      <c r="N27" s="7"/>
      <c r="O27" s="5"/>
      <c r="P27" s="6"/>
      <c r="Q27" s="6"/>
      <c r="R27" s="7"/>
      <c r="S27" s="5"/>
      <c r="T27" s="6"/>
      <c r="U27" s="6"/>
      <c r="V27" s="7"/>
      <c r="W27" s="5"/>
      <c r="X27" s="6"/>
      <c r="Y27" s="6"/>
      <c r="Z27" s="7"/>
      <c r="AA27" s="5"/>
      <c r="AB27" s="6"/>
      <c r="AC27" s="6"/>
      <c r="AD27" s="7"/>
      <c r="AE27" s="5"/>
      <c r="AF27" s="6"/>
      <c r="AG27" s="6"/>
      <c r="AH27" s="7"/>
      <c r="AI27" s="5"/>
      <c r="AJ27" s="6"/>
      <c r="AK27" s="6"/>
      <c r="AL27" s="7"/>
      <c r="AM27" s="5"/>
      <c r="AN27" s="6"/>
      <c r="AO27" s="6"/>
      <c r="AP27" s="8"/>
      <c r="AQ27" s="9"/>
      <c r="AR27" s="6"/>
      <c r="AS27" s="6"/>
      <c r="AT27" s="7"/>
      <c r="AU27" s="5"/>
      <c r="AV27" s="6"/>
      <c r="AW27" s="6"/>
      <c r="AX27" s="7"/>
      <c r="AY27" s="5"/>
      <c r="AZ27" s="6"/>
      <c r="BA27" s="6"/>
      <c r="BB27" s="7"/>
    </row>
    <row r="28" spans="1:71" ht="36" customHeight="1" x14ac:dyDescent="0.2">
      <c r="C28" s="10"/>
      <c r="D28" s="11"/>
      <c r="E28" s="11"/>
      <c r="F28" s="12"/>
      <c r="G28" s="10"/>
      <c r="H28" s="11"/>
      <c r="I28" s="11"/>
      <c r="J28" s="12"/>
      <c r="K28" s="10"/>
      <c r="L28" s="11"/>
      <c r="M28" s="11"/>
      <c r="N28" s="12"/>
      <c r="O28" s="10"/>
      <c r="P28" s="11"/>
      <c r="Q28" s="11"/>
      <c r="R28" s="12"/>
      <c r="S28" s="10"/>
      <c r="T28" s="23">
        <v>57</v>
      </c>
      <c r="U28" s="11">
        <v>28</v>
      </c>
      <c r="V28" s="12"/>
      <c r="W28" s="10"/>
      <c r="X28" s="23">
        <v>58</v>
      </c>
      <c r="Y28" s="11">
        <v>27</v>
      </c>
      <c r="Z28" s="12"/>
      <c r="AA28" s="10"/>
      <c r="AB28" s="23">
        <v>59</v>
      </c>
      <c r="AC28" s="11">
        <v>26</v>
      </c>
      <c r="AD28" s="12"/>
      <c r="AE28" s="10"/>
      <c r="AF28" s="23">
        <v>60</v>
      </c>
      <c r="AG28" s="11">
        <v>25</v>
      </c>
      <c r="AH28" s="12"/>
      <c r="AI28" s="10"/>
      <c r="AJ28" s="23">
        <v>61</v>
      </c>
      <c r="AK28" s="11">
        <v>24</v>
      </c>
      <c r="AL28" s="12"/>
      <c r="AM28" s="10"/>
      <c r="AN28" s="23">
        <v>62</v>
      </c>
      <c r="AO28" s="11">
        <v>23</v>
      </c>
      <c r="AP28" s="13"/>
      <c r="AQ28" s="14"/>
      <c r="AR28" s="23">
        <v>63</v>
      </c>
      <c r="AS28" s="11">
        <v>57</v>
      </c>
      <c r="AT28" s="12"/>
      <c r="AU28" s="10"/>
      <c r="AV28" s="23">
        <v>64</v>
      </c>
      <c r="AW28" s="11">
        <v>58</v>
      </c>
      <c r="AX28" s="12"/>
      <c r="AY28" s="10"/>
      <c r="AZ28" s="23">
        <v>65</v>
      </c>
      <c r="BA28" s="11">
        <v>59</v>
      </c>
      <c r="BB28" s="12"/>
      <c r="BD28" s="39" t="s">
        <v>538</v>
      </c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</row>
    <row r="29" spans="1:71" ht="36" customHeight="1" x14ac:dyDescent="0.2">
      <c r="C29" s="15">
        <v>0</v>
      </c>
      <c r="D29" s="11"/>
      <c r="E29" s="11"/>
      <c r="F29" s="12"/>
      <c r="G29" s="15">
        <v>1</v>
      </c>
      <c r="H29" s="11"/>
      <c r="I29" s="11"/>
      <c r="J29" s="12"/>
      <c r="K29" s="15">
        <v>2</v>
      </c>
      <c r="L29" s="11"/>
      <c r="M29" s="11"/>
      <c r="N29" s="12"/>
      <c r="O29" s="15">
        <v>3</v>
      </c>
      <c r="P29" s="11"/>
      <c r="Q29" s="11"/>
      <c r="R29" s="12"/>
      <c r="S29" s="15">
        <v>4</v>
      </c>
      <c r="T29" s="11">
        <v>11</v>
      </c>
      <c r="U29" s="11">
        <v>7</v>
      </c>
      <c r="V29" s="12">
        <v>1</v>
      </c>
      <c r="W29" s="15">
        <v>5</v>
      </c>
      <c r="X29" s="11">
        <v>1</v>
      </c>
      <c r="Y29" s="11">
        <v>1</v>
      </c>
      <c r="Z29" s="12">
        <v>0</v>
      </c>
      <c r="AA29" s="15">
        <v>6</v>
      </c>
      <c r="AB29" s="11">
        <v>9</v>
      </c>
      <c r="AC29" s="11">
        <v>3</v>
      </c>
      <c r="AD29" s="12">
        <v>1</v>
      </c>
      <c r="AE29" s="15">
        <v>7</v>
      </c>
      <c r="AF29" s="11">
        <v>13</v>
      </c>
      <c r="AG29" s="11">
        <v>5</v>
      </c>
      <c r="AH29" s="12">
        <v>3</v>
      </c>
      <c r="AI29" s="15">
        <v>8</v>
      </c>
      <c r="AJ29" s="11">
        <v>7</v>
      </c>
      <c r="AK29" s="11">
        <v>3</v>
      </c>
      <c r="AL29" s="12">
        <v>5</v>
      </c>
      <c r="AM29" s="15">
        <v>9</v>
      </c>
      <c r="AN29" s="11">
        <v>16</v>
      </c>
      <c r="AO29" s="11">
        <v>7</v>
      </c>
      <c r="AP29" s="13">
        <v>2</v>
      </c>
      <c r="AQ29" s="16">
        <v>10</v>
      </c>
      <c r="AR29" s="11">
        <v>5</v>
      </c>
      <c r="AS29" s="11">
        <v>3</v>
      </c>
      <c r="AT29" s="12">
        <v>1</v>
      </c>
      <c r="AU29" s="15">
        <v>11</v>
      </c>
      <c r="AV29" s="11">
        <v>6</v>
      </c>
      <c r="AW29" s="11">
        <v>3</v>
      </c>
      <c r="AX29" s="12">
        <v>1</v>
      </c>
      <c r="AY29" s="15">
        <v>12</v>
      </c>
      <c r="AZ29" s="11">
        <v>17</v>
      </c>
      <c r="BA29" s="11">
        <v>13</v>
      </c>
      <c r="BB29" s="12">
        <v>7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</row>
    <row r="30" spans="1:71" ht="36" customHeight="1" x14ac:dyDescent="0.2">
      <c r="C30" s="26">
        <v>34</v>
      </c>
      <c r="D30" s="27"/>
      <c r="E30" s="28">
        <v>5</v>
      </c>
      <c r="F30" s="29" t="s">
        <v>175</v>
      </c>
      <c r="G30" s="26">
        <v>32</v>
      </c>
      <c r="H30" s="27"/>
      <c r="I30" s="28">
        <v>5</v>
      </c>
      <c r="J30" s="29" t="s">
        <v>175</v>
      </c>
      <c r="K30" s="26">
        <v>30</v>
      </c>
      <c r="L30" s="27"/>
      <c r="M30" s="28">
        <v>5</v>
      </c>
      <c r="N30" s="29" t="s">
        <v>175</v>
      </c>
      <c r="O30" s="26">
        <v>28</v>
      </c>
      <c r="P30" s="27"/>
      <c r="Q30" s="28">
        <v>5</v>
      </c>
      <c r="R30" s="29" t="s">
        <v>175</v>
      </c>
      <c r="S30" s="26">
        <v>26</v>
      </c>
      <c r="T30" s="27"/>
      <c r="U30" s="28">
        <v>5</v>
      </c>
      <c r="V30" s="29" t="s">
        <v>175</v>
      </c>
      <c r="W30" s="26">
        <v>24</v>
      </c>
      <c r="X30" s="27"/>
      <c r="Y30" s="28">
        <v>5</v>
      </c>
      <c r="Z30" s="29" t="s">
        <v>175</v>
      </c>
      <c r="AA30" s="26">
        <v>22</v>
      </c>
      <c r="AB30" s="27"/>
      <c r="AC30" s="28">
        <v>5</v>
      </c>
      <c r="AD30" s="29" t="s">
        <v>175</v>
      </c>
      <c r="AE30" s="26">
        <v>20</v>
      </c>
      <c r="AF30" s="27"/>
      <c r="AG30" s="28">
        <v>5</v>
      </c>
      <c r="AH30" s="29" t="s">
        <v>175</v>
      </c>
      <c r="AI30" s="26">
        <v>18</v>
      </c>
      <c r="AJ30" s="27"/>
      <c r="AK30" s="28">
        <v>5</v>
      </c>
      <c r="AL30" s="29" t="s">
        <v>175</v>
      </c>
      <c r="AM30" s="26">
        <v>16</v>
      </c>
      <c r="AN30" s="27"/>
      <c r="AO30" s="28">
        <v>5</v>
      </c>
      <c r="AP30" s="30" t="s">
        <v>175</v>
      </c>
      <c r="AQ30" s="31">
        <v>14</v>
      </c>
      <c r="AR30" s="27"/>
      <c r="AS30" s="28">
        <v>5</v>
      </c>
      <c r="AT30" s="29" t="s">
        <v>175</v>
      </c>
      <c r="AU30" s="26">
        <v>12</v>
      </c>
      <c r="AV30" s="27"/>
      <c r="AW30" s="28">
        <v>5</v>
      </c>
      <c r="AX30" s="29" t="s">
        <v>175</v>
      </c>
      <c r="AY30" s="26">
        <v>10</v>
      </c>
      <c r="AZ30" s="27"/>
      <c r="BA30" s="28">
        <v>5</v>
      </c>
      <c r="BB30" s="29" t="s">
        <v>175</v>
      </c>
    </row>
    <row r="31" spans="1:71" ht="36" customHeight="1" x14ac:dyDescent="0.2">
      <c r="C31" s="32"/>
      <c r="D31" s="33"/>
      <c r="E31" s="33"/>
      <c r="F31" s="34"/>
      <c r="G31" s="32"/>
      <c r="H31" s="33"/>
      <c r="I31" s="33"/>
      <c r="J31" s="34"/>
      <c r="K31" s="32"/>
      <c r="L31" s="33"/>
      <c r="M31" s="33"/>
      <c r="N31" s="34"/>
      <c r="O31" s="32"/>
      <c r="P31" s="33"/>
      <c r="Q31" s="33"/>
      <c r="R31" s="34"/>
      <c r="S31" s="32"/>
      <c r="T31" s="33"/>
      <c r="U31" s="33"/>
      <c r="V31" s="34"/>
      <c r="W31" s="32"/>
      <c r="X31" s="33"/>
      <c r="Y31" s="33"/>
      <c r="Z31" s="34"/>
      <c r="AA31" s="32"/>
      <c r="AB31" s="33"/>
      <c r="AC31" s="33"/>
      <c r="AD31" s="34"/>
      <c r="AE31" s="32"/>
      <c r="AF31" s="33"/>
      <c r="AG31" s="33"/>
      <c r="AH31" s="34"/>
      <c r="AI31" s="32"/>
      <c r="AJ31" s="33"/>
      <c r="AK31" s="33"/>
      <c r="AL31" s="34"/>
      <c r="AM31" s="32"/>
      <c r="AN31" s="33"/>
      <c r="AO31" s="33"/>
      <c r="AP31" s="35"/>
      <c r="AQ31" s="36"/>
      <c r="AR31" s="33"/>
      <c r="AS31" s="33"/>
      <c r="AT31" s="34"/>
      <c r="AU31" s="32"/>
      <c r="AV31" s="33"/>
      <c r="AW31" s="33"/>
      <c r="AX31" s="34"/>
      <c r="AY31" s="32"/>
      <c r="AZ31" s="33"/>
      <c r="BA31" s="33"/>
      <c r="BB31" s="34"/>
    </row>
    <row r="32" spans="1:71" ht="36" customHeight="1" x14ac:dyDescent="0.2">
      <c r="C32" s="10"/>
      <c r="D32" s="23">
        <v>44</v>
      </c>
      <c r="E32" s="11">
        <v>72</v>
      </c>
      <c r="F32" s="12"/>
      <c r="G32" s="10"/>
      <c r="H32" s="23">
        <v>45</v>
      </c>
      <c r="I32" s="11">
        <v>73</v>
      </c>
      <c r="J32" s="12"/>
      <c r="K32" s="10"/>
      <c r="L32" s="23">
        <v>46</v>
      </c>
      <c r="M32" s="11">
        <v>80</v>
      </c>
      <c r="N32" s="12"/>
      <c r="O32" s="10"/>
      <c r="P32" s="23">
        <v>47</v>
      </c>
      <c r="Q32" s="11">
        <v>81</v>
      </c>
      <c r="R32" s="12"/>
      <c r="S32" s="10"/>
      <c r="T32" s="23">
        <v>48</v>
      </c>
      <c r="U32" s="11">
        <v>6</v>
      </c>
      <c r="V32" s="12"/>
      <c r="W32" s="10"/>
      <c r="X32" s="23">
        <v>49</v>
      </c>
      <c r="Y32" s="11">
        <v>5</v>
      </c>
      <c r="Z32" s="12"/>
      <c r="AA32" s="10"/>
      <c r="AB32" s="23">
        <v>50</v>
      </c>
      <c r="AC32" s="11">
        <v>4</v>
      </c>
      <c r="AD32" s="12"/>
      <c r="AE32" s="10"/>
      <c r="AF32" s="23">
        <v>51</v>
      </c>
      <c r="AG32" s="11">
        <v>3</v>
      </c>
      <c r="AH32" s="12"/>
      <c r="AI32" s="10"/>
      <c r="AJ32" s="23">
        <v>52</v>
      </c>
      <c r="AK32" s="11">
        <v>2</v>
      </c>
      <c r="AL32" s="12"/>
      <c r="AM32" s="10"/>
      <c r="AN32" s="23">
        <v>53</v>
      </c>
      <c r="AO32" s="11">
        <v>1</v>
      </c>
      <c r="AP32" s="13"/>
      <c r="AQ32" s="14"/>
      <c r="AR32" s="23">
        <v>54</v>
      </c>
      <c r="AS32" s="11">
        <v>48</v>
      </c>
      <c r="AT32" s="12"/>
      <c r="AU32" s="10"/>
      <c r="AV32" s="23">
        <v>55</v>
      </c>
      <c r="AW32" s="11">
        <v>49</v>
      </c>
      <c r="AX32" s="12"/>
      <c r="AY32" s="10"/>
      <c r="AZ32" s="23">
        <v>56</v>
      </c>
      <c r="BA32" s="11">
        <v>50</v>
      </c>
      <c r="BB32" s="12"/>
    </row>
    <row r="33" spans="3:54" ht="36" customHeight="1" x14ac:dyDescent="0.2">
      <c r="C33" s="15">
        <v>0</v>
      </c>
      <c r="D33" s="11">
        <v>8</v>
      </c>
      <c r="E33" s="11">
        <v>2</v>
      </c>
      <c r="F33" s="12">
        <v>0</v>
      </c>
      <c r="G33" s="15">
        <v>1</v>
      </c>
      <c r="H33" s="11">
        <v>4</v>
      </c>
      <c r="I33" s="11">
        <v>2</v>
      </c>
      <c r="J33" s="12">
        <v>0</v>
      </c>
      <c r="K33" s="15">
        <v>2</v>
      </c>
      <c r="L33" s="11">
        <v>11</v>
      </c>
      <c r="M33" s="11">
        <v>8</v>
      </c>
      <c r="N33" s="12">
        <v>2</v>
      </c>
      <c r="O33" s="15">
        <v>3</v>
      </c>
      <c r="P33" s="11">
        <v>16</v>
      </c>
      <c r="Q33" s="11">
        <v>9</v>
      </c>
      <c r="R33" s="12">
        <v>1</v>
      </c>
      <c r="S33" s="15">
        <v>4</v>
      </c>
      <c r="T33" s="11">
        <v>4</v>
      </c>
      <c r="U33" s="11">
        <v>0</v>
      </c>
      <c r="V33" s="12">
        <v>0</v>
      </c>
      <c r="W33" s="15">
        <v>5</v>
      </c>
      <c r="X33" s="11">
        <v>0</v>
      </c>
      <c r="Y33" s="11">
        <v>0</v>
      </c>
      <c r="Z33" s="12">
        <v>0</v>
      </c>
      <c r="AA33" s="15">
        <v>6</v>
      </c>
      <c r="AB33" s="11">
        <v>3</v>
      </c>
      <c r="AC33" s="11">
        <v>0</v>
      </c>
      <c r="AD33" s="12">
        <v>1</v>
      </c>
      <c r="AE33" s="15">
        <v>7</v>
      </c>
      <c r="AF33" s="11">
        <v>15</v>
      </c>
      <c r="AG33" s="11">
        <v>8</v>
      </c>
      <c r="AH33" s="12">
        <v>6</v>
      </c>
      <c r="AI33" s="15">
        <v>8</v>
      </c>
      <c r="AJ33" s="11">
        <v>17</v>
      </c>
      <c r="AK33" s="11">
        <v>6</v>
      </c>
      <c r="AL33" s="12">
        <v>12</v>
      </c>
      <c r="AM33" s="15">
        <v>9</v>
      </c>
      <c r="AN33" s="11">
        <v>4</v>
      </c>
      <c r="AO33" s="11">
        <v>2</v>
      </c>
      <c r="AP33" s="13">
        <v>5</v>
      </c>
      <c r="AQ33" s="16">
        <v>10</v>
      </c>
      <c r="AR33" s="11">
        <v>9</v>
      </c>
      <c r="AS33" s="11">
        <v>3</v>
      </c>
      <c r="AT33" s="12">
        <v>8</v>
      </c>
      <c r="AU33" s="15">
        <v>11</v>
      </c>
      <c r="AV33" s="11">
        <v>10</v>
      </c>
      <c r="AW33" s="11">
        <v>2</v>
      </c>
      <c r="AX33" s="12">
        <v>3</v>
      </c>
      <c r="AY33" s="15">
        <v>12</v>
      </c>
      <c r="AZ33" s="11">
        <v>0</v>
      </c>
      <c r="BA33" s="11">
        <v>0</v>
      </c>
      <c r="BB33" s="12"/>
    </row>
    <row r="34" spans="3:54" ht="36" customHeight="1" x14ac:dyDescent="0.2">
      <c r="C34" s="17">
        <v>34</v>
      </c>
      <c r="D34" s="18"/>
      <c r="E34" s="19">
        <v>4</v>
      </c>
      <c r="F34" s="20">
        <v>-2</v>
      </c>
      <c r="G34" s="17">
        <v>32</v>
      </c>
      <c r="H34" s="18"/>
      <c r="I34" s="19">
        <v>4</v>
      </c>
      <c r="J34" s="20">
        <v>-2</v>
      </c>
      <c r="K34" s="17">
        <v>30</v>
      </c>
      <c r="L34" s="18"/>
      <c r="M34" s="19">
        <v>4</v>
      </c>
      <c r="N34" s="20">
        <v>-2</v>
      </c>
      <c r="O34" s="17">
        <v>28</v>
      </c>
      <c r="P34" s="18"/>
      <c r="Q34" s="19">
        <v>4</v>
      </c>
      <c r="R34" s="20">
        <v>-2</v>
      </c>
      <c r="S34" s="17">
        <v>26</v>
      </c>
      <c r="T34" s="18"/>
      <c r="U34" s="19">
        <v>4</v>
      </c>
      <c r="V34" s="20">
        <v>-2</v>
      </c>
      <c r="W34" s="17">
        <v>24</v>
      </c>
      <c r="X34" s="18"/>
      <c r="Y34" s="19">
        <v>4</v>
      </c>
      <c r="Z34" s="20">
        <v>-2</v>
      </c>
      <c r="AA34" s="17">
        <v>22</v>
      </c>
      <c r="AB34" s="18"/>
      <c r="AC34" s="19">
        <v>4</v>
      </c>
      <c r="AD34" s="20">
        <v>-2</v>
      </c>
      <c r="AE34" s="17">
        <v>20</v>
      </c>
      <c r="AF34" s="18"/>
      <c r="AG34" s="19">
        <v>4</v>
      </c>
      <c r="AH34" s="20">
        <v>-2</v>
      </c>
      <c r="AI34" s="17">
        <v>18</v>
      </c>
      <c r="AJ34" s="18"/>
      <c r="AK34" s="19">
        <v>4</v>
      </c>
      <c r="AL34" s="20">
        <v>-2</v>
      </c>
      <c r="AM34" s="17">
        <v>16</v>
      </c>
      <c r="AN34" s="18"/>
      <c r="AO34" s="19">
        <v>4</v>
      </c>
      <c r="AP34" s="21">
        <v>-2</v>
      </c>
      <c r="AQ34" s="22">
        <v>14</v>
      </c>
      <c r="AR34" s="18"/>
      <c r="AS34" s="19">
        <v>4</v>
      </c>
      <c r="AT34" s="20">
        <v>-2</v>
      </c>
      <c r="AU34" s="17">
        <v>12</v>
      </c>
      <c r="AV34" s="18"/>
      <c r="AW34" s="19">
        <v>4</v>
      </c>
      <c r="AX34" s="20">
        <v>-2</v>
      </c>
      <c r="AY34" s="17">
        <v>10</v>
      </c>
      <c r="AZ34" s="18"/>
      <c r="BA34" s="19">
        <v>4</v>
      </c>
      <c r="BB34" s="20">
        <v>-2</v>
      </c>
    </row>
    <row r="35" spans="3:54" ht="36" customHeight="1" x14ac:dyDescent="0.2">
      <c r="C35" s="5"/>
      <c r="D35" s="6"/>
      <c r="E35" s="6"/>
      <c r="F35" s="7"/>
      <c r="G35" s="5"/>
      <c r="H35" s="6"/>
      <c r="I35" s="6"/>
      <c r="J35" s="7"/>
      <c r="K35" s="5"/>
      <c r="L35" s="6"/>
      <c r="M35" s="6"/>
      <c r="N35" s="7"/>
      <c r="O35" s="5"/>
      <c r="P35" s="6"/>
      <c r="Q35" s="6"/>
      <c r="R35" s="7"/>
      <c r="S35" s="5"/>
      <c r="T35" s="6"/>
      <c r="U35" s="6"/>
      <c r="V35" s="7"/>
      <c r="W35" s="5"/>
      <c r="X35" s="6"/>
      <c r="Y35" s="6"/>
      <c r="Z35" s="7"/>
      <c r="AA35" s="5"/>
      <c r="AB35" s="6"/>
      <c r="AC35" s="6"/>
      <c r="AD35" s="7"/>
      <c r="AE35" s="5"/>
      <c r="AF35" s="6"/>
      <c r="AG35" s="6"/>
      <c r="AH35" s="7"/>
      <c r="AI35" s="5"/>
      <c r="AJ35" s="6"/>
      <c r="AK35" s="6"/>
      <c r="AL35" s="7"/>
      <c r="AM35" s="5"/>
      <c r="AN35" s="6"/>
      <c r="AO35" s="6"/>
      <c r="AP35" s="8"/>
      <c r="AQ35" s="9"/>
      <c r="AR35" s="6"/>
      <c r="AS35" s="6"/>
      <c r="AT35" s="7"/>
      <c r="AU35" s="5"/>
      <c r="AV35" s="6"/>
      <c r="AW35" s="6"/>
      <c r="AX35" s="7"/>
      <c r="AY35" s="5"/>
      <c r="AZ35" s="6"/>
      <c r="BA35" s="6"/>
      <c r="BB35" s="7"/>
    </row>
    <row r="36" spans="3:54" ht="36" customHeight="1" x14ac:dyDescent="0.2">
      <c r="C36" s="10"/>
      <c r="D36" s="23">
        <v>31</v>
      </c>
      <c r="E36" s="11">
        <v>71</v>
      </c>
      <c r="F36" s="12"/>
      <c r="G36" s="10"/>
      <c r="H36" s="23">
        <v>32</v>
      </c>
      <c r="I36" s="11">
        <v>74</v>
      </c>
      <c r="J36" s="12"/>
      <c r="K36" s="10"/>
      <c r="L36" s="23">
        <v>33</v>
      </c>
      <c r="M36" s="11">
        <v>79</v>
      </c>
      <c r="N36" s="12"/>
      <c r="O36" s="10"/>
      <c r="P36" s="23">
        <v>34</v>
      </c>
      <c r="Q36" s="11">
        <v>7</v>
      </c>
      <c r="R36" s="12"/>
      <c r="S36" s="10"/>
      <c r="T36" s="23">
        <v>35</v>
      </c>
      <c r="U36" s="11">
        <v>8</v>
      </c>
      <c r="V36" s="12"/>
      <c r="W36" s="10"/>
      <c r="X36" s="23">
        <v>36</v>
      </c>
      <c r="Y36" s="11">
        <v>9</v>
      </c>
      <c r="Z36" s="12"/>
      <c r="AA36" s="10"/>
      <c r="AB36" s="23">
        <v>37</v>
      </c>
      <c r="AC36" s="11">
        <v>10</v>
      </c>
      <c r="AD36" s="12"/>
      <c r="AE36" s="10"/>
      <c r="AF36" s="23">
        <v>38</v>
      </c>
      <c r="AG36" s="11">
        <v>11</v>
      </c>
      <c r="AH36" s="12"/>
      <c r="AI36" s="10"/>
      <c r="AJ36" s="23">
        <v>39</v>
      </c>
      <c r="AK36" s="11">
        <v>12</v>
      </c>
      <c r="AL36" s="12"/>
      <c r="AM36" s="10"/>
      <c r="AN36" s="23">
        <v>40</v>
      </c>
      <c r="AO36" s="11">
        <v>13</v>
      </c>
      <c r="AP36" s="13"/>
      <c r="AQ36" s="14"/>
      <c r="AR36" s="23">
        <v>41</v>
      </c>
      <c r="AS36" s="11">
        <v>52</v>
      </c>
      <c r="AT36" s="12"/>
      <c r="AU36" s="10"/>
      <c r="AV36" s="23">
        <v>42</v>
      </c>
      <c r="AW36" s="11">
        <v>51</v>
      </c>
      <c r="AX36" s="12"/>
      <c r="AY36" s="10"/>
      <c r="AZ36" s="23">
        <v>43</v>
      </c>
      <c r="BA36" s="11"/>
      <c r="BB36" s="12"/>
    </row>
    <row r="37" spans="3:54" ht="36" customHeight="1" x14ac:dyDescent="0.2">
      <c r="C37" s="15">
        <v>0</v>
      </c>
      <c r="D37" s="11">
        <v>7</v>
      </c>
      <c r="E37" s="11">
        <v>7</v>
      </c>
      <c r="F37" s="12">
        <v>0</v>
      </c>
      <c r="G37" s="15">
        <v>1</v>
      </c>
      <c r="H37" s="11">
        <v>12</v>
      </c>
      <c r="I37" s="11">
        <v>8</v>
      </c>
      <c r="J37" s="12">
        <v>1</v>
      </c>
      <c r="K37" s="15">
        <v>2</v>
      </c>
      <c r="L37" s="11">
        <v>25</v>
      </c>
      <c r="M37" s="11">
        <v>15</v>
      </c>
      <c r="N37" s="12">
        <v>2</v>
      </c>
      <c r="O37" s="15">
        <v>3</v>
      </c>
      <c r="P37" s="11">
        <v>32</v>
      </c>
      <c r="Q37" s="11">
        <v>17</v>
      </c>
      <c r="R37" s="12">
        <v>7</v>
      </c>
      <c r="S37" s="15">
        <v>4</v>
      </c>
      <c r="T37" s="11">
        <v>0</v>
      </c>
      <c r="U37" s="11">
        <v>0</v>
      </c>
      <c r="V37" s="12">
        <v>0</v>
      </c>
      <c r="W37" s="15">
        <v>5</v>
      </c>
      <c r="X37" s="11">
        <v>5</v>
      </c>
      <c r="Y37" s="11">
        <v>3</v>
      </c>
      <c r="Z37" s="12">
        <v>1</v>
      </c>
      <c r="AA37" s="15">
        <v>6</v>
      </c>
      <c r="AB37" s="11">
        <v>9</v>
      </c>
      <c r="AC37" s="11">
        <v>5</v>
      </c>
      <c r="AD37" s="12">
        <v>3</v>
      </c>
      <c r="AE37" s="15">
        <v>7</v>
      </c>
      <c r="AF37" s="11">
        <v>0</v>
      </c>
      <c r="AG37" s="11">
        <v>0</v>
      </c>
      <c r="AH37" s="12">
        <v>0</v>
      </c>
      <c r="AI37" s="15">
        <v>8</v>
      </c>
      <c r="AJ37" s="11">
        <v>3</v>
      </c>
      <c r="AK37" s="11">
        <v>3</v>
      </c>
      <c r="AL37" s="12">
        <v>1</v>
      </c>
      <c r="AM37" s="15">
        <v>9</v>
      </c>
      <c r="AN37" s="11">
        <v>7</v>
      </c>
      <c r="AO37" s="11">
        <v>4</v>
      </c>
      <c r="AP37" s="13">
        <v>3</v>
      </c>
      <c r="AQ37" s="16">
        <v>10</v>
      </c>
      <c r="AR37" s="11">
        <v>15</v>
      </c>
      <c r="AS37" s="11">
        <v>10</v>
      </c>
      <c r="AT37" s="12">
        <v>6</v>
      </c>
      <c r="AU37" s="15">
        <v>11</v>
      </c>
      <c r="AV37" s="11">
        <v>15</v>
      </c>
      <c r="AW37" s="11">
        <v>10</v>
      </c>
      <c r="AX37" s="12">
        <v>11</v>
      </c>
      <c r="AY37" s="15">
        <v>12</v>
      </c>
      <c r="AZ37" s="11">
        <v>0</v>
      </c>
      <c r="BA37" s="11">
        <v>0</v>
      </c>
      <c r="BB37" s="12">
        <v>0</v>
      </c>
    </row>
    <row r="38" spans="3:54" ht="36" customHeight="1" x14ac:dyDescent="0.2">
      <c r="C38" s="17">
        <v>34</v>
      </c>
      <c r="D38" s="18"/>
      <c r="E38" s="19">
        <v>3</v>
      </c>
      <c r="F38" s="20">
        <v>-4</v>
      </c>
      <c r="G38" s="17">
        <v>32</v>
      </c>
      <c r="H38" s="18"/>
      <c r="I38" s="19">
        <v>3</v>
      </c>
      <c r="J38" s="20">
        <v>-4</v>
      </c>
      <c r="K38" s="17">
        <v>30</v>
      </c>
      <c r="L38" s="18"/>
      <c r="M38" s="19">
        <v>3</v>
      </c>
      <c r="N38" s="20">
        <v>-4</v>
      </c>
      <c r="O38" s="17">
        <v>28</v>
      </c>
      <c r="P38" s="18"/>
      <c r="Q38" s="19">
        <v>3</v>
      </c>
      <c r="R38" s="20">
        <v>-4</v>
      </c>
      <c r="S38" s="17">
        <v>26</v>
      </c>
      <c r="T38" s="18"/>
      <c r="U38" s="19">
        <v>3</v>
      </c>
      <c r="V38" s="20">
        <v>-4</v>
      </c>
      <c r="W38" s="17">
        <v>24</v>
      </c>
      <c r="X38" s="18"/>
      <c r="Y38" s="19">
        <v>3</v>
      </c>
      <c r="Z38" s="20">
        <v>-4</v>
      </c>
      <c r="AA38" s="17">
        <v>22</v>
      </c>
      <c r="AB38" s="18"/>
      <c r="AC38" s="19">
        <v>3</v>
      </c>
      <c r="AD38" s="20">
        <v>-4</v>
      </c>
      <c r="AE38" s="17">
        <v>20</v>
      </c>
      <c r="AF38" s="18"/>
      <c r="AG38" s="19">
        <v>3</v>
      </c>
      <c r="AH38" s="20">
        <v>-4</v>
      </c>
      <c r="AI38" s="17">
        <v>18</v>
      </c>
      <c r="AJ38" s="18"/>
      <c r="AK38" s="19">
        <v>3</v>
      </c>
      <c r="AL38" s="20">
        <v>-4</v>
      </c>
      <c r="AM38" s="17">
        <v>16</v>
      </c>
      <c r="AN38" s="18"/>
      <c r="AO38" s="19">
        <v>3</v>
      </c>
      <c r="AP38" s="21">
        <v>-4</v>
      </c>
      <c r="AQ38" s="22">
        <v>14</v>
      </c>
      <c r="AR38" s="18"/>
      <c r="AS38" s="19">
        <v>3</v>
      </c>
      <c r="AT38" s="20">
        <v>-4</v>
      </c>
      <c r="AU38" s="17">
        <v>12</v>
      </c>
      <c r="AV38" s="18"/>
      <c r="AW38" s="19">
        <v>3</v>
      </c>
      <c r="AX38" s="20">
        <v>-4</v>
      </c>
      <c r="AY38" s="17">
        <v>10</v>
      </c>
      <c r="AZ38" s="18"/>
      <c r="BA38" s="19">
        <v>3</v>
      </c>
      <c r="BB38" s="20">
        <v>-4</v>
      </c>
    </row>
    <row r="39" spans="3:54" ht="36" customHeight="1" x14ac:dyDescent="0.2">
      <c r="C39" s="5"/>
      <c r="D39" s="6"/>
      <c r="E39" s="6"/>
      <c r="F39" s="7"/>
      <c r="G39" s="5"/>
      <c r="H39" s="6"/>
      <c r="I39" s="6"/>
      <c r="J39" s="7"/>
      <c r="K39" s="5"/>
      <c r="L39" s="6"/>
      <c r="M39" s="6"/>
      <c r="N39" s="7"/>
      <c r="O39" s="5"/>
      <c r="P39" s="6"/>
      <c r="Q39" s="6"/>
      <c r="R39" s="7"/>
      <c r="S39" s="5"/>
      <c r="T39" s="6"/>
      <c r="U39" s="6"/>
      <c r="V39" s="7"/>
      <c r="W39" s="5"/>
      <c r="X39" s="6"/>
      <c r="Y39" s="6"/>
      <c r="Z39" s="7"/>
      <c r="AA39" s="5"/>
      <c r="AB39" s="6"/>
      <c r="AC39" s="6"/>
      <c r="AD39" s="7"/>
      <c r="AE39" s="5"/>
      <c r="AF39" s="6"/>
      <c r="AG39" s="6"/>
      <c r="AH39" s="7"/>
      <c r="AI39" s="5"/>
      <c r="AJ39" s="6"/>
      <c r="AK39" s="6"/>
      <c r="AL39" s="7"/>
      <c r="AM39" s="5"/>
      <c r="AN39" s="6"/>
      <c r="AO39" s="6"/>
      <c r="AP39" s="8"/>
      <c r="AQ39" s="9"/>
      <c r="AR39" s="6"/>
      <c r="AS39" s="6"/>
      <c r="AT39" s="7"/>
      <c r="AU39" s="5"/>
      <c r="AV39" s="6"/>
      <c r="AW39" s="6"/>
      <c r="AX39" s="7"/>
      <c r="AY39" s="5"/>
      <c r="AZ39" s="6"/>
      <c r="BA39" s="6"/>
      <c r="BB39" s="7"/>
    </row>
    <row r="40" spans="3:54" ht="36" customHeight="1" x14ac:dyDescent="0.2">
      <c r="C40" s="10"/>
      <c r="D40" s="23">
        <v>18</v>
      </c>
      <c r="E40" s="11">
        <v>70</v>
      </c>
      <c r="F40" s="12"/>
      <c r="G40" s="10"/>
      <c r="H40" s="23">
        <v>19</v>
      </c>
      <c r="I40" s="11">
        <v>75</v>
      </c>
      <c r="J40" s="12"/>
      <c r="K40" s="10"/>
      <c r="L40" s="23">
        <v>20</v>
      </c>
      <c r="M40" s="11">
        <v>78</v>
      </c>
      <c r="N40" s="12"/>
      <c r="O40" s="10"/>
      <c r="P40" s="23">
        <v>21</v>
      </c>
      <c r="Q40" s="11">
        <v>20</v>
      </c>
      <c r="R40" s="12"/>
      <c r="S40" s="10"/>
      <c r="T40" s="23">
        <v>22</v>
      </c>
      <c r="U40" s="11">
        <v>19</v>
      </c>
      <c r="V40" s="12"/>
      <c r="W40" s="10"/>
      <c r="X40" s="23">
        <v>23</v>
      </c>
      <c r="Y40" s="11">
        <v>18</v>
      </c>
      <c r="Z40" s="12"/>
      <c r="AA40" s="10"/>
      <c r="AB40" s="23">
        <v>24</v>
      </c>
      <c r="AC40" s="11">
        <v>17</v>
      </c>
      <c r="AD40" s="12"/>
      <c r="AE40" s="10"/>
      <c r="AF40" s="23">
        <v>25</v>
      </c>
      <c r="AG40" s="11">
        <v>16</v>
      </c>
      <c r="AH40" s="12"/>
      <c r="AI40" s="10"/>
      <c r="AJ40" s="23">
        <v>26</v>
      </c>
      <c r="AK40" s="11">
        <v>15</v>
      </c>
      <c r="AL40" s="12"/>
      <c r="AM40" s="10"/>
      <c r="AN40" s="23">
        <v>27</v>
      </c>
      <c r="AO40" s="11">
        <v>14</v>
      </c>
      <c r="AP40" s="13"/>
      <c r="AQ40" s="14"/>
      <c r="AR40" s="23">
        <v>28</v>
      </c>
      <c r="AS40" s="11">
        <v>53</v>
      </c>
      <c r="AT40" s="12"/>
      <c r="AU40" s="10"/>
      <c r="AV40" s="23">
        <v>29</v>
      </c>
      <c r="AW40" s="11">
        <v>54</v>
      </c>
      <c r="AX40" s="12"/>
      <c r="AY40" s="10"/>
      <c r="AZ40" s="23">
        <v>30</v>
      </c>
      <c r="BA40" s="11"/>
      <c r="BB40" s="12"/>
    </row>
    <row r="41" spans="3:54" ht="36" customHeight="1" x14ac:dyDescent="0.2">
      <c r="C41" s="15">
        <v>0</v>
      </c>
      <c r="D41" s="11">
        <v>8</v>
      </c>
      <c r="E41" s="11">
        <v>7</v>
      </c>
      <c r="F41" s="12">
        <v>1</v>
      </c>
      <c r="G41" s="15">
        <v>1</v>
      </c>
      <c r="H41" s="11">
        <v>10</v>
      </c>
      <c r="I41" s="11">
        <v>8</v>
      </c>
      <c r="J41" s="12">
        <v>8</v>
      </c>
      <c r="K41" s="15">
        <v>2</v>
      </c>
      <c r="L41" s="11">
        <v>21</v>
      </c>
      <c r="M41" s="11">
        <v>18</v>
      </c>
      <c r="N41" s="12">
        <v>2</v>
      </c>
      <c r="O41" s="15">
        <v>3</v>
      </c>
      <c r="P41" s="11">
        <v>27</v>
      </c>
      <c r="Q41" s="11">
        <v>11</v>
      </c>
      <c r="R41" s="12">
        <v>4</v>
      </c>
      <c r="S41" s="15">
        <v>4</v>
      </c>
      <c r="T41" s="11">
        <v>6</v>
      </c>
      <c r="U41" s="11">
        <v>3</v>
      </c>
      <c r="V41" s="12">
        <v>1</v>
      </c>
      <c r="W41" s="15">
        <v>5</v>
      </c>
      <c r="X41" s="11">
        <v>9</v>
      </c>
      <c r="Y41" s="11">
        <v>5</v>
      </c>
      <c r="Z41" s="12">
        <v>4</v>
      </c>
      <c r="AA41" s="15">
        <v>6</v>
      </c>
      <c r="AB41" s="11">
        <v>3</v>
      </c>
      <c r="AC41" s="11">
        <v>1</v>
      </c>
      <c r="AD41" s="12">
        <v>3</v>
      </c>
      <c r="AE41" s="15">
        <v>7</v>
      </c>
      <c r="AF41" s="11">
        <v>0</v>
      </c>
      <c r="AG41" s="11">
        <v>0</v>
      </c>
      <c r="AH41" s="12">
        <v>0</v>
      </c>
      <c r="AI41" s="15">
        <v>8</v>
      </c>
      <c r="AJ41" s="11">
        <v>0</v>
      </c>
      <c r="AK41" s="11">
        <v>0</v>
      </c>
      <c r="AL41" s="12">
        <v>0</v>
      </c>
      <c r="AM41" s="15">
        <v>9</v>
      </c>
      <c r="AN41" s="11">
        <v>15</v>
      </c>
      <c r="AO41" s="11">
        <v>9</v>
      </c>
      <c r="AP41" s="13">
        <v>3</v>
      </c>
      <c r="AQ41" s="16">
        <v>10</v>
      </c>
      <c r="AR41" s="11">
        <v>15</v>
      </c>
      <c r="AS41" s="11">
        <v>7</v>
      </c>
      <c r="AT41" s="12">
        <v>1</v>
      </c>
      <c r="AU41" s="15">
        <v>11</v>
      </c>
      <c r="AV41" s="11">
        <v>25</v>
      </c>
      <c r="AW41" s="11">
        <v>8</v>
      </c>
      <c r="AX41" s="12">
        <v>24</v>
      </c>
      <c r="AY41" s="15">
        <v>12</v>
      </c>
      <c r="AZ41" s="11">
        <v>5</v>
      </c>
      <c r="BA41" s="11">
        <v>2</v>
      </c>
      <c r="BB41" s="12">
        <v>5</v>
      </c>
    </row>
    <row r="42" spans="3:54" ht="36" customHeight="1" x14ac:dyDescent="0.2">
      <c r="C42" s="17">
        <v>34</v>
      </c>
      <c r="D42" s="18"/>
      <c r="E42" s="19">
        <v>2</v>
      </c>
      <c r="F42" s="20">
        <v>-6</v>
      </c>
      <c r="G42" s="17">
        <v>32</v>
      </c>
      <c r="H42" s="18"/>
      <c r="I42" s="19">
        <v>2</v>
      </c>
      <c r="J42" s="20">
        <v>-6</v>
      </c>
      <c r="K42" s="17">
        <v>30</v>
      </c>
      <c r="L42" s="18"/>
      <c r="M42" s="19">
        <v>2</v>
      </c>
      <c r="N42" s="20">
        <v>-6</v>
      </c>
      <c r="O42" s="17">
        <v>28</v>
      </c>
      <c r="P42" s="18"/>
      <c r="Q42" s="19">
        <v>2</v>
      </c>
      <c r="R42" s="20">
        <v>-6</v>
      </c>
      <c r="S42" s="17">
        <v>26</v>
      </c>
      <c r="T42" s="18"/>
      <c r="U42" s="19">
        <v>2</v>
      </c>
      <c r="V42" s="20">
        <v>-6</v>
      </c>
      <c r="W42" s="17">
        <v>24</v>
      </c>
      <c r="X42" s="18"/>
      <c r="Y42" s="19">
        <v>2</v>
      </c>
      <c r="Z42" s="20">
        <v>-6</v>
      </c>
      <c r="AA42" s="17">
        <v>22</v>
      </c>
      <c r="AB42" s="18"/>
      <c r="AC42" s="19">
        <v>2</v>
      </c>
      <c r="AD42" s="20">
        <v>-6</v>
      </c>
      <c r="AE42" s="17">
        <v>20</v>
      </c>
      <c r="AF42" s="18"/>
      <c r="AG42" s="19">
        <v>2</v>
      </c>
      <c r="AH42" s="20">
        <v>-6</v>
      </c>
      <c r="AI42" s="17">
        <v>18</v>
      </c>
      <c r="AJ42" s="18"/>
      <c r="AK42" s="19">
        <v>2</v>
      </c>
      <c r="AL42" s="20">
        <v>-6</v>
      </c>
      <c r="AM42" s="17">
        <v>16</v>
      </c>
      <c r="AN42" s="18"/>
      <c r="AO42" s="19">
        <v>2</v>
      </c>
      <c r="AP42" s="21">
        <v>-6</v>
      </c>
      <c r="AQ42" s="22">
        <v>14</v>
      </c>
      <c r="AR42" s="18"/>
      <c r="AS42" s="19">
        <v>2</v>
      </c>
      <c r="AT42" s="20">
        <v>-6</v>
      </c>
      <c r="AU42" s="17">
        <v>12</v>
      </c>
      <c r="AV42" s="18"/>
      <c r="AW42" s="19">
        <v>2</v>
      </c>
      <c r="AX42" s="20">
        <v>-6</v>
      </c>
      <c r="AY42" s="17">
        <v>10</v>
      </c>
      <c r="AZ42" s="18"/>
      <c r="BA42" s="19">
        <v>2</v>
      </c>
      <c r="BB42" s="20">
        <v>-6</v>
      </c>
    </row>
    <row r="43" spans="3:54" ht="36" customHeight="1" x14ac:dyDescent="0.2">
      <c r="C43" s="5"/>
      <c r="D43" s="6"/>
      <c r="E43" s="6"/>
      <c r="F43" s="7"/>
      <c r="G43" s="5"/>
      <c r="H43" s="6"/>
      <c r="I43" s="6"/>
      <c r="J43" s="7"/>
      <c r="K43" s="5"/>
      <c r="L43" s="6"/>
      <c r="M43" s="6"/>
      <c r="N43" s="7"/>
      <c r="O43" s="5"/>
      <c r="P43" s="6"/>
      <c r="Q43" s="6"/>
      <c r="R43" s="7"/>
      <c r="S43" s="5"/>
      <c r="T43" s="6"/>
      <c r="U43" s="6"/>
      <c r="V43" s="7"/>
      <c r="W43" s="5"/>
      <c r="X43" s="6"/>
      <c r="Y43" s="6"/>
      <c r="Z43" s="7"/>
      <c r="AA43" s="5"/>
      <c r="AB43" s="6"/>
      <c r="AC43" s="6"/>
      <c r="AD43" s="7"/>
      <c r="AE43" s="5"/>
      <c r="AF43" s="6"/>
      <c r="AG43" s="6"/>
      <c r="AH43" s="7"/>
      <c r="AI43" s="5"/>
      <c r="AJ43" s="6"/>
      <c r="AK43" s="6"/>
      <c r="AL43" s="7"/>
      <c r="AM43" s="5"/>
      <c r="AN43" s="6"/>
      <c r="AO43" s="6"/>
      <c r="AP43" s="8"/>
      <c r="AQ43" s="9"/>
      <c r="AR43" s="6"/>
      <c r="AS43" s="6"/>
      <c r="AT43" s="7"/>
      <c r="AU43" s="5"/>
      <c r="AV43" s="6"/>
      <c r="AW43" s="6"/>
      <c r="AX43" s="7"/>
      <c r="AY43" s="5"/>
      <c r="AZ43" s="6"/>
      <c r="BA43" s="6"/>
      <c r="BB43" s="7"/>
    </row>
    <row r="44" spans="3:54" ht="36" customHeight="1" x14ac:dyDescent="0.2">
      <c r="C44" s="10"/>
      <c r="D44" s="23">
        <v>5</v>
      </c>
      <c r="E44" s="11">
        <v>69</v>
      </c>
      <c r="F44" s="12"/>
      <c r="G44" s="10"/>
      <c r="H44" s="23">
        <v>6</v>
      </c>
      <c r="I44" s="11">
        <v>76</v>
      </c>
      <c r="J44" s="12"/>
      <c r="K44" s="10"/>
      <c r="L44" s="23">
        <v>7</v>
      </c>
      <c r="M44" s="11">
        <v>77</v>
      </c>
      <c r="N44" s="12"/>
      <c r="O44" s="10"/>
      <c r="P44" s="23">
        <v>8</v>
      </c>
      <c r="Q44" s="11">
        <v>21</v>
      </c>
      <c r="R44" s="12"/>
      <c r="S44" s="10"/>
      <c r="T44" s="23">
        <v>9</v>
      </c>
      <c r="U44" s="11">
        <v>22</v>
      </c>
      <c r="V44" s="12"/>
      <c r="W44" s="10"/>
      <c r="X44" s="23">
        <v>10</v>
      </c>
      <c r="Y44" s="11"/>
      <c r="Z44" s="12"/>
      <c r="AA44" s="10"/>
      <c r="AB44" s="23">
        <v>11</v>
      </c>
      <c r="AC44" s="11"/>
      <c r="AD44" s="12"/>
      <c r="AE44" s="10"/>
      <c r="AF44" s="23">
        <v>12</v>
      </c>
      <c r="AG44" s="11"/>
      <c r="AH44" s="12"/>
      <c r="AI44" s="10"/>
      <c r="AJ44" s="23">
        <v>13</v>
      </c>
      <c r="AK44" s="11"/>
      <c r="AL44" s="12"/>
      <c r="AM44" s="10"/>
      <c r="AN44" s="23">
        <v>14</v>
      </c>
      <c r="AO44" s="11"/>
      <c r="AP44" s="13"/>
      <c r="AQ44" s="14"/>
      <c r="AR44" s="23">
        <v>15</v>
      </c>
      <c r="AS44" s="11">
        <v>56</v>
      </c>
      <c r="AT44" s="12"/>
      <c r="AU44" s="10"/>
      <c r="AV44" s="23">
        <v>16</v>
      </c>
      <c r="AW44" s="11">
        <v>55</v>
      </c>
      <c r="AX44" s="12"/>
      <c r="AY44" s="10"/>
      <c r="AZ44" s="23">
        <v>17</v>
      </c>
      <c r="BA44" s="11"/>
      <c r="BB44" s="12"/>
    </row>
    <row r="45" spans="3:54" ht="36" customHeight="1" x14ac:dyDescent="0.2">
      <c r="C45" s="15">
        <v>0</v>
      </c>
      <c r="D45" s="11">
        <v>6</v>
      </c>
      <c r="E45" s="11">
        <v>3</v>
      </c>
      <c r="F45" s="12">
        <v>2</v>
      </c>
      <c r="G45" s="15">
        <v>1</v>
      </c>
      <c r="H45" s="11">
        <v>18</v>
      </c>
      <c r="I45" s="11">
        <v>13</v>
      </c>
      <c r="J45" s="12">
        <v>6</v>
      </c>
      <c r="K45" s="15">
        <v>2</v>
      </c>
      <c r="L45" s="11">
        <v>12</v>
      </c>
      <c r="M45" s="11">
        <v>5</v>
      </c>
      <c r="N45" s="12">
        <v>3</v>
      </c>
      <c r="O45" s="15">
        <v>3</v>
      </c>
      <c r="P45" s="11">
        <v>9</v>
      </c>
      <c r="Q45" s="11">
        <v>4</v>
      </c>
      <c r="R45" s="12">
        <v>5</v>
      </c>
      <c r="S45" s="15">
        <v>4</v>
      </c>
      <c r="T45" s="11">
        <v>0</v>
      </c>
      <c r="U45" s="11">
        <v>0</v>
      </c>
      <c r="V45" s="12">
        <v>7</v>
      </c>
      <c r="W45" s="15">
        <v>5</v>
      </c>
      <c r="X45" s="11">
        <v>0</v>
      </c>
      <c r="Y45" s="11">
        <v>0</v>
      </c>
      <c r="Z45" s="12">
        <v>0</v>
      </c>
      <c r="AA45" s="15">
        <v>6</v>
      </c>
      <c r="AB45" s="11">
        <v>0</v>
      </c>
      <c r="AC45" s="11">
        <v>0</v>
      </c>
      <c r="AD45" s="12">
        <v>0</v>
      </c>
      <c r="AE45" s="15">
        <v>7</v>
      </c>
      <c r="AF45" s="11">
        <v>0</v>
      </c>
      <c r="AG45" s="11">
        <v>0</v>
      </c>
      <c r="AH45" s="12">
        <v>0</v>
      </c>
      <c r="AI45" s="15">
        <v>8</v>
      </c>
      <c r="AJ45" s="11">
        <v>0</v>
      </c>
      <c r="AK45" s="11">
        <v>0</v>
      </c>
      <c r="AL45" s="12">
        <v>1</v>
      </c>
      <c r="AM45" s="15">
        <v>9</v>
      </c>
      <c r="AN45" s="11">
        <v>0</v>
      </c>
      <c r="AO45" s="11">
        <v>0</v>
      </c>
      <c r="AP45" s="13">
        <v>2</v>
      </c>
      <c r="AQ45" s="16">
        <v>10</v>
      </c>
      <c r="AR45" s="11">
        <v>1</v>
      </c>
      <c r="AS45" s="11">
        <v>0</v>
      </c>
      <c r="AT45" s="12">
        <v>1</v>
      </c>
      <c r="AU45" s="15">
        <v>11</v>
      </c>
      <c r="AV45" s="11">
        <v>25</v>
      </c>
      <c r="AW45" s="11">
        <v>11</v>
      </c>
      <c r="AX45" s="12">
        <v>4</v>
      </c>
      <c r="AY45" s="15">
        <v>12</v>
      </c>
      <c r="AZ45" s="11">
        <v>0</v>
      </c>
      <c r="BA45" s="11">
        <v>0</v>
      </c>
      <c r="BB45" s="12">
        <v>2</v>
      </c>
    </row>
    <row r="46" spans="3:54" ht="36" customHeight="1" x14ac:dyDescent="0.2">
      <c r="C46" s="17">
        <v>34</v>
      </c>
      <c r="D46" s="18"/>
      <c r="E46" s="19">
        <v>1</v>
      </c>
      <c r="F46" s="20">
        <v>-8</v>
      </c>
      <c r="G46" s="17">
        <v>32</v>
      </c>
      <c r="H46" s="18"/>
      <c r="I46" s="19">
        <v>1</v>
      </c>
      <c r="J46" s="20">
        <v>-8</v>
      </c>
      <c r="K46" s="17">
        <v>30</v>
      </c>
      <c r="L46" s="18"/>
      <c r="M46" s="19">
        <v>1</v>
      </c>
      <c r="N46" s="20">
        <v>-8</v>
      </c>
      <c r="O46" s="17">
        <v>28</v>
      </c>
      <c r="P46" s="18"/>
      <c r="Q46" s="19">
        <v>1</v>
      </c>
      <c r="R46" s="20">
        <v>-8</v>
      </c>
      <c r="S46" s="17">
        <v>26</v>
      </c>
      <c r="T46" s="18"/>
      <c r="U46" s="19">
        <v>1</v>
      </c>
      <c r="V46" s="20">
        <v>-8</v>
      </c>
      <c r="W46" s="17">
        <v>24</v>
      </c>
      <c r="X46" s="18"/>
      <c r="Y46" s="19">
        <v>1</v>
      </c>
      <c r="Z46" s="20">
        <v>-8</v>
      </c>
      <c r="AA46" s="17">
        <v>22</v>
      </c>
      <c r="AB46" s="18"/>
      <c r="AC46" s="19">
        <v>1</v>
      </c>
      <c r="AD46" s="20">
        <v>-8</v>
      </c>
      <c r="AE46" s="17">
        <v>20</v>
      </c>
      <c r="AF46" s="18"/>
      <c r="AG46" s="19">
        <v>1</v>
      </c>
      <c r="AH46" s="20">
        <v>-8</v>
      </c>
      <c r="AI46" s="17">
        <v>18</v>
      </c>
      <c r="AJ46" s="18"/>
      <c r="AK46" s="19">
        <v>1</v>
      </c>
      <c r="AL46" s="20">
        <v>-8</v>
      </c>
      <c r="AM46" s="17">
        <v>16</v>
      </c>
      <c r="AN46" s="18"/>
      <c r="AO46" s="19">
        <v>1</v>
      </c>
      <c r="AP46" s="21">
        <v>-8</v>
      </c>
      <c r="AQ46" s="22">
        <v>14</v>
      </c>
      <c r="AR46" s="18"/>
      <c r="AS46" s="19">
        <v>1</v>
      </c>
      <c r="AT46" s="20">
        <v>-8</v>
      </c>
      <c r="AU46" s="17">
        <v>12</v>
      </c>
      <c r="AV46" s="18"/>
      <c r="AW46" s="19">
        <v>1</v>
      </c>
      <c r="AX46" s="20">
        <v>-8</v>
      </c>
      <c r="AY46" s="17">
        <v>10</v>
      </c>
      <c r="AZ46" s="18"/>
      <c r="BA46" s="19">
        <v>1</v>
      </c>
      <c r="BB46" s="20">
        <v>-8</v>
      </c>
    </row>
    <row r="47" spans="3:54" ht="36" customHeight="1" x14ac:dyDescent="0.2">
      <c r="C47" s="5"/>
      <c r="D47" s="6"/>
      <c r="E47" s="6"/>
      <c r="F47" s="7"/>
      <c r="G47" s="5"/>
      <c r="H47" s="6"/>
      <c r="I47" s="6"/>
      <c r="J47" s="7"/>
      <c r="K47" s="5"/>
      <c r="L47" s="6"/>
      <c r="M47" s="6"/>
      <c r="N47" s="7"/>
      <c r="O47" s="5"/>
      <c r="P47" s="6"/>
      <c r="Q47" s="6"/>
      <c r="R47" s="7"/>
      <c r="S47" s="5"/>
      <c r="T47" s="6"/>
      <c r="U47" s="6"/>
      <c r="V47" s="7"/>
      <c r="W47" s="5"/>
      <c r="X47" s="6"/>
      <c r="Y47" s="6"/>
      <c r="Z47" s="7"/>
      <c r="AA47" s="5"/>
      <c r="AB47" s="6"/>
      <c r="AC47" s="6"/>
      <c r="AD47" s="7"/>
      <c r="AE47" s="5"/>
      <c r="AF47" s="6"/>
      <c r="AG47" s="6"/>
      <c r="AH47" s="7"/>
      <c r="AI47" s="5"/>
      <c r="AJ47" s="6"/>
      <c r="AK47" s="6"/>
      <c r="AL47" s="7"/>
      <c r="AM47" s="5"/>
      <c r="AN47" s="6"/>
      <c r="AO47" s="6"/>
      <c r="AP47" s="8"/>
      <c r="AQ47" s="9"/>
      <c r="AR47" s="6"/>
      <c r="AS47" s="6"/>
      <c r="AT47" s="7"/>
      <c r="AU47" s="5"/>
      <c r="AV47" s="6"/>
      <c r="AW47" s="6"/>
      <c r="AX47" s="7"/>
      <c r="AY47" s="5"/>
      <c r="AZ47" s="6"/>
      <c r="BA47" s="6"/>
      <c r="BB47" s="7"/>
    </row>
    <row r="48" spans="3:54" ht="36" customHeight="1" x14ac:dyDescent="0.2">
      <c r="C48" s="10"/>
      <c r="D48" s="23">
        <v>1</v>
      </c>
      <c r="E48" s="11"/>
      <c r="F48" s="12"/>
      <c r="G48" s="10"/>
      <c r="H48" s="23">
        <v>2</v>
      </c>
      <c r="I48" s="11"/>
      <c r="J48" s="12"/>
      <c r="K48" s="10"/>
      <c r="L48" s="23">
        <v>3</v>
      </c>
      <c r="M48" s="11"/>
      <c r="N48" s="12"/>
      <c r="O48" s="10"/>
      <c r="P48" s="23">
        <v>4</v>
      </c>
      <c r="Q48" s="11"/>
      <c r="R48" s="12"/>
      <c r="S48" s="10"/>
      <c r="T48" s="11"/>
      <c r="U48" s="11"/>
      <c r="V48" s="12"/>
      <c r="W48" s="10"/>
      <c r="X48" s="11"/>
      <c r="Y48" s="11"/>
      <c r="Z48" s="12"/>
      <c r="AA48" s="10"/>
      <c r="AB48" s="11"/>
      <c r="AC48" s="11"/>
      <c r="AD48" s="12"/>
      <c r="AE48" s="10"/>
      <c r="AF48" s="11"/>
      <c r="AG48" s="11"/>
      <c r="AH48" s="12"/>
      <c r="AI48" s="10"/>
      <c r="AJ48" s="11"/>
      <c r="AK48" s="11"/>
      <c r="AL48" s="12"/>
      <c r="AM48" s="10"/>
      <c r="AN48" s="11"/>
      <c r="AO48" s="11"/>
      <c r="AP48" s="13"/>
      <c r="AQ48" s="14"/>
      <c r="AR48" s="11"/>
      <c r="AS48" s="11"/>
      <c r="AT48" s="12"/>
      <c r="AU48" s="10"/>
      <c r="AV48" s="11"/>
      <c r="AW48" s="11"/>
      <c r="AX48" s="12"/>
      <c r="AY48" s="10"/>
      <c r="AZ48" s="11"/>
      <c r="BA48" s="11"/>
      <c r="BB48" s="12"/>
    </row>
    <row r="49" spans="3:54" ht="36" customHeight="1" x14ac:dyDescent="0.2">
      <c r="C49" s="15">
        <v>0</v>
      </c>
      <c r="D49" s="11">
        <v>0</v>
      </c>
      <c r="E49" s="11">
        <v>0</v>
      </c>
      <c r="F49" s="12">
        <v>0</v>
      </c>
      <c r="G49" s="15">
        <v>1</v>
      </c>
      <c r="H49" s="11">
        <v>2</v>
      </c>
      <c r="I49" s="11">
        <v>1</v>
      </c>
      <c r="J49" s="12">
        <v>0</v>
      </c>
      <c r="K49" s="15">
        <v>2</v>
      </c>
      <c r="L49" s="11">
        <v>8</v>
      </c>
      <c r="M49" s="11">
        <v>2</v>
      </c>
      <c r="N49" s="12">
        <v>2</v>
      </c>
      <c r="O49" s="15">
        <v>3</v>
      </c>
      <c r="P49" s="11">
        <v>2</v>
      </c>
      <c r="Q49" s="11">
        <v>0</v>
      </c>
      <c r="R49" s="12">
        <v>0</v>
      </c>
      <c r="S49" s="15">
        <v>4</v>
      </c>
      <c r="T49" s="11"/>
      <c r="U49" s="11"/>
      <c r="V49" s="12"/>
      <c r="W49" s="15">
        <v>5</v>
      </c>
      <c r="X49" s="11"/>
      <c r="Y49" s="11"/>
      <c r="Z49" s="12"/>
      <c r="AA49" s="15">
        <v>6</v>
      </c>
      <c r="AB49" s="11"/>
      <c r="AC49" s="11"/>
      <c r="AD49" s="12"/>
      <c r="AE49" s="15">
        <v>7</v>
      </c>
      <c r="AF49" s="11"/>
      <c r="AG49" s="11"/>
      <c r="AH49" s="12"/>
      <c r="AI49" s="15">
        <v>8</v>
      </c>
      <c r="AJ49" s="11"/>
      <c r="AK49" s="11"/>
      <c r="AL49" s="12"/>
      <c r="AM49" s="15">
        <v>9</v>
      </c>
      <c r="AN49" s="11"/>
      <c r="AO49" s="11"/>
      <c r="AP49" s="13"/>
      <c r="AQ49" s="16">
        <v>10</v>
      </c>
      <c r="AR49" s="11"/>
      <c r="AS49" s="11"/>
      <c r="AT49" s="12"/>
      <c r="AU49" s="15">
        <v>11</v>
      </c>
      <c r="AV49" s="11"/>
      <c r="AW49" s="11"/>
      <c r="AX49" s="12"/>
      <c r="AY49" s="15">
        <v>12</v>
      </c>
      <c r="AZ49" s="11"/>
      <c r="BA49" s="11"/>
      <c r="BB49" s="12"/>
    </row>
    <row r="50" spans="3:54" ht="36" customHeight="1" x14ac:dyDescent="0.2">
      <c r="C50" s="17">
        <v>34</v>
      </c>
      <c r="D50" s="18"/>
      <c r="E50" s="19">
        <v>0</v>
      </c>
      <c r="F50" s="20">
        <v>-10</v>
      </c>
      <c r="G50" s="17">
        <v>32</v>
      </c>
      <c r="H50" s="18"/>
      <c r="I50" s="19">
        <v>0</v>
      </c>
      <c r="J50" s="20">
        <v>-10</v>
      </c>
      <c r="K50" s="17">
        <v>30</v>
      </c>
      <c r="L50" s="18"/>
      <c r="M50" s="19">
        <v>0</v>
      </c>
      <c r="N50" s="20">
        <v>-10</v>
      </c>
      <c r="O50" s="17">
        <v>28</v>
      </c>
      <c r="P50" s="18"/>
      <c r="Q50" s="19">
        <v>0</v>
      </c>
      <c r="R50" s="20">
        <v>-10</v>
      </c>
      <c r="S50" s="17">
        <v>26</v>
      </c>
      <c r="T50" s="18"/>
      <c r="U50" s="19">
        <v>0</v>
      </c>
      <c r="V50" s="20">
        <v>-10</v>
      </c>
      <c r="W50" s="17">
        <v>24</v>
      </c>
      <c r="X50" s="18"/>
      <c r="Y50" s="19">
        <v>0</v>
      </c>
      <c r="Z50" s="20">
        <v>-10</v>
      </c>
      <c r="AA50" s="17">
        <v>22</v>
      </c>
      <c r="AB50" s="18"/>
      <c r="AC50" s="19">
        <v>0</v>
      </c>
      <c r="AD50" s="20">
        <v>-10</v>
      </c>
      <c r="AE50" s="17">
        <v>20</v>
      </c>
      <c r="AF50" s="18"/>
      <c r="AG50" s="19">
        <v>0</v>
      </c>
      <c r="AH50" s="20">
        <v>-10</v>
      </c>
      <c r="AI50" s="17">
        <v>18</v>
      </c>
      <c r="AJ50" s="18"/>
      <c r="AK50" s="19">
        <v>0</v>
      </c>
      <c r="AL50" s="20">
        <v>-10</v>
      </c>
      <c r="AM50" s="17">
        <v>16</v>
      </c>
      <c r="AN50" s="18"/>
      <c r="AO50" s="19">
        <v>0</v>
      </c>
      <c r="AP50" s="21">
        <v>-10</v>
      </c>
      <c r="AQ50" s="22">
        <v>14</v>
      </c>
      <c r="AR50" s="18"/>
      <c r="AS50" s="19">
        <v>0</v>
      </c>
      <c r="AT50" s="20">
        <v>-10</v>
      </c>
      <c r="AU50" s="17">
        <v>12</v>
      </c>
      <c r="AV50" s="18"/>
      <c r="AW50" s="19">
        <v>0</v>
      </c>
      <c r="AX50" s="20">
        <v>-10</v>
      </c>
      <c r="AY50" s="17">
        <v>10</v>
      </c>
      <c r="AZ50" s="18"/>
      <c r="BA50" s="19">
        <v>0</v>
      </c>
      <c r="BB50" s="20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20:BH24"/>
    <mergeCell ref="BD28:BS29"/>
    <mergeCell ref="BD11:BG14"/>
    <mergeCell ref="BH11:BK14"/>
    <mergeCell ref="BL11:BO14"/>
    <mergeCell ref="BP11:BS14"/>
    <mergeCell ref="BD15:BG18"/>
    <mergeCell ref="BH15:BK18"/>
    <mergeCell ref="BL15:BO18"/>
    <mergeCell ref="BP15:BS18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317"/>
  <sheetViews>
    <sheetView topLeftCell="G1" zoomScale="120" zoomScaleNormal="120" workbookViewId="0">
      <selection activeCell="S2" sqref="S2"/>
    </sheetView>
  </sheetViews>
  <sheetFormatPr defaultColWidth="11.5703125" defaultRowHeight="12.75" x14ac:dyDescent="0.2"/>
  <cols>
    <col min="12" max="12" width="14.42578125" customWidth="1"/>
    <col min="13" max="14" width="13.140625" customWidth="1"/>
    <col min="15" max="16" width="12.85546875" customWidth="1"/>
  </cols>
  <sheetData>
    <row r="1" spans="1:19" x14ac:dyDescent="0.2">
      <c r="A1" t="s">
        <v>539</v>
      </c>
      <c r="B1" t="s">
        <v>540</v>
      </c>
      <c r="C1" t="s">
        <v>541</v>
      </c>
      <c r="D1" t="s">
        <v>0</v>
      </c>
      <c r="E1" t="s">
        <v>542</v>
      </c>
      <c r="F1" t="s">
        <v>543</v>
      </c>
      <c r="G1" t="s">
        <v>544</v>
      </c>
      <c r="H1" t="s">
        <v>545</v>
      </c>
      <c r="I1" t="s">
        <v>546</v>
      </c>
      <c r="J1" t="s">
        <v>547</v>
      </c>
      <c r="K1" t="s">
        <v>548</v>
      </c>
      <c r="L1" t="s">
        <v>549</v>
      </c>
      <c r="M1" t="s">
        <v>550</v>
      </c>
      <c r="N1" t="s">
        <v>551</v>
      </c>
      <c r="O1" t="s">
        <v>552</v>
      </c>
      <c r="P1" t="s">
        <v>553</v>
      </c>
      <c r="S1" t="s">
        <v>554</v>
      </c>
    </row>
    <row r="2" spans="1:19" ht="25.5" x14ac:dyDescent="0.2">
      <c r="A2" s="37" t="s">
        <v>555</v>
      </c>
      <c r="B2">
        <v>34</v>
      </c>
      <c r="C2">
        <v>-10</v>
      </c>
      <c r="I2">
        <v>0</v>
      </c>
      <c r="J2">
        <v>0</v>
      </c>
      <c r="K2">
        <v>46.001225159999997</v>
      </c>
      <c r="L2">
        <v>-123.07626974999999</v>
      </c>
      <c r="M2">
        <v>6.3966250000000004E-3</v>
      </c>
      <c r="N2">
        <v>9.0468749999999994E-3</v>
      </c>
      <c r="O2">
        <v>5.1172999999999995E-4</v>
      </c>
      <c r="P2">
        <v>7.2375E-4</v>
      </c>
    </row>
    <row r="3" spans="1:19" ht="25.5" x14ac:dyDescent="0.2">
      <c r="A3" s="37" t="s">
        <v>556</v>
      </c>
      <c r="B3">
        <v>34</v>
      </c>
      <c r="C3">
        <v>14</v>
      </c>
      <c r="I3">
        <v>0</v>
      </c>
      <c r="J3">
        <v>12</v>
      </c>
      <c r="K3">
        <f>$K$2+0.5*($I3*$O$2)-0.5*($J3*$P$2)</f>
        <v>45.996882659999997</v>
      </c>
      <c r="L3">
        <f>$L$2-0.5*($J3*$O$2)-0.5*($I3*$P$2)</f>
        <v>-123.07934012999999</v>
      </c>
    </row>
    <row r="4" spans="1:19" ht="25.5" x14ac:dyDescent="0.2">
      <c r="A4" s="37" t="s">
        <v>557</v>
      </c>
      <c r="B4">
        <v>8</v>
      </c>
      <c r="C4">
        <v>14</v>
      </c>
      <c r="I4">
        <v>13</v>
      </c>
      <c r="J4">
        <v>12</v>
      </c>
      <c r="K4">
        <f>$K$2+0.5*($I4*$O$2)-0.5*($J4*$P$2)</f>
        <v>46.000208904999994</v>
      </c>
      <c r="L4">
        <f>$L$2-0.5*($J4*$O$2)-0.5*($I4*$P$2)</f>
        <v>-123.08404450499999</v>
      </c>
    </row>
    <row r="5" spans="1:19" ht="25.5" x14ac:dyDescent="0.2">
      <c r="A5" s="37" t="s">
        <v>558</v>
      </c>
      <c r="B5">
        <v>8</v>
      </c>
      <c r="C5">
        <v>-10</v>
      </c>
      <c r="I5">
        <v>13</v>
      </c>
      <c r="J5">
        <v>0</v>
      </c>
      <c r="K5">
        <v>46.004551435000003</v>
      </c>
      <c r="L5">
        <v>-123.080974125</v>
      </c>
    </row>
    <row r="6" spans="1:19" ht="25.5" x14ac:dyDescent="0.2">
      <c r="A6" s="37" t="s">
        <v>559</v>
      </c>
      <c r="B6">
        <v>14</v>
      </c>
      <c r="C6" t="s">
        <v>175</v>
      </c>
      <c r="I6">
        <v>10</v>
      </c>
      <c r="J6">
        <v>5</v>
      </c>
      <c r="K6">
        <f t="shared" ref="K6:K37" si="0">$K$2+0.5*($I6*$O$2)-0.5*($J6*$P$2)</f>
        <v>46.001974434999994</v>
      </c>
      <c r="L6">
        <f t="shared" ref="L6:L37" si="1">$L$2-0.5*($J6*$O$2)-0.5*($I6*$P$2)</f>
        <v>-123.08116782499999</v>
      </c>
    </row>
    <row r="7" spans="1:19" x14ac:dyDescent="0.2">
      <c r="I7">
        <v>0</v>
      </c>
      <c r="J7">
        <v>0</v>
      </c>
      <c r="K7">
        <f t="shared" si="0"/>
        <v>46.001225159999997</v>
      </c>
      <c r="L7">
        <f t="shared" si="1"/>
        <v>-123.07626974999999</v>
      </c>
    </row>
    <row r="8" spans="1:19" x14ac:dyDescent="0.2">
      <c r="I8">
        <v>0</v>
      </c>
      <c r="J8">
        <v>1</v>
      </c>
      <c r="K8">
        <f t="shared" si="0"/>
        <v>46.000863284999994</v>
      </c>
      <c r="L8">
        <f t="shared" si="1"/>
        <v>-123.07652561499999</v>
      </c>
    </row>
    <row r="9" spans="1:19" x14ac:dyDescent="0.2">
      <c r="I9">
        <v>0</v>
      </c>
      <c r="J9">
        <v>2</v>
      </c>
      <c r="K9">
        <f t="shared" si="0"/>
        <v>46.000501409999998</v>
      </c>
      <c r="L9">
        <f t="shared" si="1"/>
        <v>-123.07678147999999</v>
      </c>
    </row>
    <row r="10" spans="1:19" x14ac:dyDescent="0.2">
      <c r="I10">
        <v>0</v>
      </c>
      <c r="J10">
        <v>3</v>
      </c>
      <c r="K10">
        <f t="shared" si="0"/>
        <v>46.000139534999995</v>
      </c>
      <c r="L10">
        <f t="shared" si="1"/>
        <v>-123.07703734499999</v>
      </c>
    </row>
    <row r="11" spans="1:19" x14ac:dyDescent="0.2">
      <c r="I11">
        <v>0</v>
      </c>
      <c r="J11">
        <v>4</v>
      </c>
      <c r="K11">
        <f t="shared" si="0"/>
        <v>45.999777659999999</v>
      </c>
      <c r="L11">
        <f t="shared" si="1"/>
        <v>-123.07729320999999</v>
      </c>
    </row>
    <row r="12" spans="1:19" x14ac:dyDescent="0.2">
      <c r="I12">
        <v>0</v>
      </c>
      <c r="J12">
        <v>5</v>
      </c>
      <c r="K12">
        <f t="shared" si="0"/>
        <v>45.999415784999997</v>
      </c>
      <c r="L12">
        <f t="shared" si="1"/>
        <v>-123.07754907499999</v>
      </c>
    </row>
    <row r="13" spans="1:19" x14ac:dyDescent="0.2">
      <c r="I13">
        <v>0</v>
      </c>
      <c r="J13">
        <v>6</v>
      </c>
      <c r="K13">
        <f t="shared" si="0"/>
        <v>45.999053909999994</v>
      </c>
      <c r="L13">
        <f t="shared" si="1"/>
        <v>-123.07780493999999</v>
      </c>
    </row>
    <row r="14" spans="1:19" x14ac:dyDescent="0.2">
      <c r="I14">
        <v>0</v>
      </c>
      <c r="J14">
        <v>7</v>
      </c>
      <c r="K14">
        <f t="shared" si="0"/>
        <v>45.998692034999998</v>
      </c>
      <c r="L14">
        <f t="shared" si="1"/>
        <v>-123.07806080499999</v>
      </c>
    </row>
    <row r="15" spans="1:19" x14ac:dyDescent="0.2">
      <c r="I15">
        <v>0</v>
      </c>
      <c r="J15">
        <v>8</v>
      </c>
      <c r="K15">
        <f t="shared" si="0"/>
        <v>45.998330159999995</v>
      </c>
      <c r="L15">
        <f t="shared" si="1"/>
        <v>-123.07831666999999</v>
      </c>
    </row>
    <row r="16" spans="1:19" x14ac:dyDescent="0.2">
      <c r="I16">
        <v>0</v>
      </c>
      <c r="J16">
        <v>9</v>
      </c>
      <c r="K16">
        <f t="shared" si="0"/>
        <v>45.997968284999999</v>
      </c>
      <c r="L16">
        <f t="shared" si="1"/>
        <v>-123.07857253499999</v>
      </c>
    </row>
    <row r="17" spans="9:12" x14ac:dyDescent="0.2">
      <c r="I17">
        <v>0</v>
      </c>
      <c r="J17">
        <v>10</v>
      </c>
      <c r="K17">
        <f t="shared" si="0"/>
        <v>45.997606409999996</v>
      </c>
      <c r="L17">
        <f t="shared" si="1"/>
        <v>-123.07882839999999</v>
      </c>
    </row>
    <row r="18" spans="9:12" x14ac:dyDescent="0.2">
      <c r="I18">
        <v>0</v>
      </c>
      <c r="J18">
        <v>11</v>
      </c>
      <c r="K18">
        <f t="shared" si="0"/>
        <v>45.997244535</v>
      </c>
      <c r="L18">
        <f t="shared" si="1"/>
        <v>-123.07908426499999</v>
      </c>
    </row>
    <row r="19" spans="9:12" x14ac:dyDescent="0.2">
      <c r="I19">
        <v>0</v>
      </c>
      <c r="J19">
        <v>12</v>
      </c>
      <c r="K19">
        <f t="shared" si="0"/>
        <v>45.996882659999997</v>
      </c>
      <c r="L19">
        <f t="shared" si="1"/>
        <v>-123.07934012999999</v>
      </c>
    </row>
    <row r="20" spans="9:12" x14ac:dyDescent="0.2">
      <c r="I20">
        <v>1</v>
      </c>
      <c r="J20">
        <v>0</v>
      </c>
      <c r="K20">
        <f t="shared" si="0"/>
        <v>46.001481024999997</v>
      </c>
      <c r="L20">
        <f t="shared" si="1"/>
        <v>-123.07663162499999</v>
      </c>
    </row>
    <row r="21" spans="9:12" x14ac:dyDescent="0.2">
      <c r="I21">
        <v>1</v>
      </c>
      <c r="J21">
        <v>1</v>
      </c>
      <c r="K21">
        <f t="shared" si="0"/>
        <v>46.001119149999994</v>
      </c>
      <c r="L21">
        <f t="shared" si="1"/>
        <v>-123.07688748999999</v>
      </c>
    </row>
    <row r="22" spans="9:12" x14ac:dyDescent="0.2">
      <c r="I22">
        <v>1</v>
      </c>
      <c r="J22">
        <v>2</v>
      </c>
      <c r="K22">
        <f t="shared" si="0"/>
        <v>46.000757274999998</v>
      </c>
      <c r="L22">
        <f t="shared" si="1"/>
        <v>-123.07714335499999</v>
      </c>
    </row>
    <row r="23" spans="9:12" x14ac:dyDescent="0.2">
      <c r="I23">
        <v>1</v>
      </c>
      <c r="J23">
        <v>3</v>
      </c>
      <c r="K23">
        <f t="shared" si="0"/>
        <v>46.000395399999995</v>
      </c>
      <c r="L23">
        <f t="shared" si="1"/>
        <v>-123.07739921999999</v>
      </c>
    </row>
    <row r="24" spans="9:12" x14ac:dyDescent="0.2">
      <c r="I24">
        <v>1</v>
      </c>
      <c r="J24">
        <v>4</v>
      </c>
      <c r="K24">
        <f t="shared" si="0"/>
        <v>46.000033524999999</v>
      </c>
      <c r="L24">
        <f t="shared" si="1"/>
        <v>-123.07765508499999</v>
      </c>
    </row>
    <row r="25" spans="9:12" x14ac:dyDescent="0.2">
      <c r="I25">
        <v>1</v>
      </c>
      <c r="J25">
        <v>5</v>
      </c>
      <c r="K25">
        <f t="shared" si="0"/>
        <v>45.999671649999996</v>
      </c>
      <c r="L25">
        <f t="shared" si="1"/>
        <v>-123.07791094999999</v>
      </c>
    </row>
    <row r="26" spans="9:12" x14ac:dyDescent="0.2">
      <c r="I26">
        <v>1</v>
      </c>
      <c r="J26">
        <v>6</v>
      </c>
      <c r="K26">
        <f t="shared" si="0"/>
        <v>45.999309774999993</v>
      </c>
      <c r="L26">
        <f t="shared" si="1"/>
        <v>-123.07816681499999</v>
      </c>
    </row>
    <row r="27" spans="9:12" x14ac:dyDescent="0.2">
      <c r="I27">
        <v>1</v>
      </c>
      <c r="J27">
        <v>7</v>
      </c>
      <c r="K27">
        <f t="shared" si="0"/>
        <v>45.998947899999997</v>
      </c>
      <c r="L27">
        <f t="shared" si="1"/>
        <v>-123.07842267999999</v>
      </c>
    </row>
    <row r="28" spans="9:12" x14ac:dyDescent="0.2">
      <c r="I28">
        <v>1</v>
      </c>
      <c r="J28">
        <v>8</v>
      </c>
      <c r="K28">
        <f t="shared" si="0"/>
        <v>45.998586024999994</v>
      </c>
      <c r="L28">
        <f t="shared" si="1"/>
        <v>-123.07867854499999</v>
      </c>
    </row>
    <row r="29" spans="9:12" x14ac:dyDescent="0.2">
      <c r="I29">
        <v>1</v>
      </c>
      <c r="J29">
        <v>9</v>
      </c>
      <c r="K29">
        <f t="shared" si="0"/>
        <v>45.998224149999999</v>
      </c>
      <c r="L29">
        <f t="shared" si="1"/>
        <v>-123.07893440999999</v>
      </c>
    </row>
    <row r="30" spans="9:12" x14ac:dyDescent="0.2">
      <c r="I30">
        <v>1</v>
      </c>
      <c r="J30">
        <v>10</v>
      </c>
      <c r="K30">
        <f t="shared" si="0"/>
        <v>45.997862274999996</v>
      </c>
      <c r="L30">
        <f t="shared" si="1"/>
        <v>-123.07919027499999</v>
      </c>
    </row>
    <row r="31" spans="9:12" x14ac:dyDescent="0.2">
      <c r="I31">
        <v>1</v>
      </c>
      <c r="J31">
        <v>11</v>
      </c>
      <c r="K31">
        <f t="shared" si="0"/>
        <v>45.9975004</v>
      </c>
      <c r="L31">
        <f t="shared" si="1"/>
        <v>-123.07944613999999</v>
      </c>
    </row>
    <row r="32" spans="9:12" x14ac:dyDescent="0.2">
      <c r="I32">
        <v>1</v>
      </c>
      <c r="J32">
        <v>12</v>
      </c>
      <c r="K32">
        <f t="shared" si="0"/>
        <v>45.997138524999997</v>
      </c>
      <c r="L32">
        <f t="shared" si="1"/>
        <v>-123.07970200499999</v>
      </c>
    </row>
    <row r="33" spans="9:12" x14ac:dyDescent="0.2">
      <c r="I33">
        <v>2</v>
      </c>
      <c r="J33">
        <v>0</v>
      </c>
      <c r="K33">
        <f t="shared" si="0"/>
        <v>46.001736889999997</v>
      </c>
      <c r="L33">
        <f t="shared" si="1"/>
        <v>-123.0769935</v>
      </c>
    </row>
    <row r="34" spans="9:12" x14ac:dyDescent="0.2">
      <c r="I34">
        <v>2</v>
      </c>
      <c r="J34">
        <v>1</v>
      </c>
      <c r="K34">
        <f t="shared" si="0"/>
        <v>46.001375014999994</v>
      </c>
      <c r="L34">
        <f t="shared" si="1"/>
        <v>-123.077249365</v>
      </c>
    </row>
    <row r="35" spans="9:12" x14ac:dyDescent="0.2">
      <c r="I35">
        <v>2</v>
      </c>
      <c r="J35">
        <v>2</v>
      </c>
      <c r="K35">
        <f t="shared" si="0"/>
        <v>46.001013139999998</v>
      </c>
      <c r="L35">
        <f t="shared" si="1"/>
        <v>-123.07750523</v>
      </c>
    </row>
    <row r="36" spans="9:12" x14ac:dyDescent="0.2">
      <c r="I36">
        <v>2</v>
      </c>
      <c r="J36">
        <v>3</v>
      </c>
      <c r="K36">
        <f t="shared" si="0"/>
        <v>46.000651264999995</v>
      </c>
      <c r="L36">
        <f t="shared" si="1"/>
        <v>-123.077761095</v>
      </c>
    </row>
    <row r="37" spans="9:12" x14ac:dyDescent="0.2">
      <c r="I37">
        <v>2</v>
      </c>
      <c r="J37">
        <v>4</v>
      </c>
      <c r="K37">
        <f t="shared" si="0"/>
        <v>46.000289389999999</v>
      </c>
      <c r="L37">
        <f t="shared" si="1"/>
        <v>-123.07801696</v>
      </c>
    </row>
    <row r="38" spans="9:12" x14ac:dyDescent="0.2">
      <c r="I38">
        <v>2</v>
      </c>
      <c r="J38">
        <v>5</v>
      </c>
      <c r="K38">
        <f t="shared" ref="K38:K69" si="2">$K$2+0.5*($I38*$O$2)-0.5*($J38*$P$2)</f>
        <v>45.999927514999996</v>
      </c>
      <c r="L38">
        <f t="shared" ref="L38:L69" si="3">$L$2-0.5*($J38*$O$2)-0.5*($I38*$P$2)</f>
        <v>-123.078272825</v>
      </c>
    </row>
    <row r="39" spans="9:12" x14ac:dyDescent="0.2">
      <c r="I39">
        <v>2</v>
      </c>
      <c r="J39">
        <v>6</v>
      </c>
      <c r="K39">
        <f t="shared" si="2"/>
        <v>45.999565639999993</v>
      </c>
      <c r="L39">
        <f t="shared" si="3"/>
        <v>-123.07852869</v>
      </c>
    </row>
    <row r="40" spans="9:12" x14ac:dyDescent="0.2">
      <c r="I40">
        <v>2</v>
      </c>
      <c r="J40">
        <v>7</v>
      </c>
      <c r="K40">
        <f t="shared" si="2"/>
        <v>45.999203764999997</v>
      </c>
      <c r="L40">
        <f t="shared" si="3"/>
        <v>-123.078784555</v>
      </c>
    </row>
    <row r="41" spans="9:12" x14ac:dyDescent="0.2">
      <c r="I41">
        <v>2</v>
      </c>
      <c r="J41">
        <v>8</v>
      </c>
      <c r="K41">
        <f t="shared" si="2"/>
        <v>45.998841889999994</v>
      </c>
      <c r="L41">
        <f t="shared" si="3"/>
        <v>-123.07904042</v>
      </c>
    </row>
    <row r="42" spans="9:12" x14ac:dyDescent="0.2">
      <c r="I42">
        <v>2</v>
      </c>
      <c r="J42">
        <v>9</v>
      </c>
      <c r="K42">
        <f t="shared" si="2"/>
        <v>45.998480014999998</v>
      </c>
      <c r="L42">
        <f t="shared" si="3"/>
        <v>-123.079296285</v>
      </c>
    </row>
    <row r="43" spans="9:12" x14ac:dyDescent="0.2">
      <c r="I43">
        <v>2</v>
      </c>
      <c r="J43">
        <v>10</v>
      </c>
      <c r="K43">
        <f t="shared" si="2"/>
        <v>45.998118139999995</v>
      </c>
      <c r="L43">
        <f t="shared" si="3"/>
        <v>-123.07955215</v>
      </c>
    </row>
    <row r="44" spans="9:12" x14ac:dyDescent="0.2">
      <c r="I44">
        <v>2</v>
      </c>
      <c r="J44">
        <v>11</v>
      </c>
      <c r="K44">
        <f t="shared" si="2"/>
        <v>45.997756265</v>
      </c>
      <c r="L44">
        <f t="shared" si="3"/>
        <v>-123.079808015</v>
      </c>
    </row>
    <row r="45" spans="9:12" x14ac:dyDescent="0.2">
      <c r="I45">
        <v>2</v>
      </c>
      <c r="J45">
        <v>12</v>
      </c>
      <c r="K45">
        <f t="shared" si="2"/>
        <v>45.997394389999997</v>
      </c>
      <c r="L45">
        <f t="shared" si="3"/>
        <v>-123.08006388</v>
      </c>
    </row>
    <row r="46" spans="9:12" x14ac:dyDescent="0.2">
      <c r="I46">
        <v>3</v>
      </c>
      <c r="J46">
        <v>0</v>
      </c>
      <c r="K46">
        <f t="shared" si="2"/>
        <v>46.001992754999996</v>
      </c>
      <c r="L46">
        <f t="shared" si="3"/>
        <v>-123.077355375</v>
      </c>
    </row>
    <row r="47" spans="9:12" x14ac:dyDescent="0.2">
      <c r="I47">
        <v>3</v>
      </c>
      <c r="J47">
        <v>1</v>
      </c>
      <c r="K47">
        <f t="shared" si="2"/>
        <v>46.001630879999993</v>
      </c>
      <c r="L47">
        <f t="shared" si="3"/>
        <v>-123.07761124</v>
      </c>
    </row>
    <row r="48" spans="9:12" x14ac:dyDescent="0.2">
      <c r="I48">
        <v>3</v>
      </c>
      <c r="J48">
        <v>2</v>
      </c>
      <c r="K48">
        <f t="shared" si="2"/>
        <v>46.001269004999997</v>
      </c>
      <c r="L48">
        <f t="shared" si="3"/>
        <v>-123.077867105</v>
      </c>
    </row>
    <row r="49" spans="9:12" x14ac:dyDescent="0.2">
      <c r="I49">
        <v>3</v>
      </c>
      <c r="J49">
        <v>3</v>
      </c>
      <c r="K49">
        <f t="shared" si="2"/>
        <v>46.000907129999995</v>
      </c>
      <c r="L49">
        <f t="shared" si="3"/>
        <v>-123.07812297</v>
      </c>
    </row>
    <row r="50" spans="9:12" x14ac:dyDescent="0.2">
      <c r="I50">
        <v>3</v>
      </c>
      <c r="J50">
        <v>4</v>
      </c>
      <c r="K50">
        <f t="shared" si="2"/>
        <v>46.000545254999999</v>
      </c>
      <c r="L50">
        <f t="shared" si="3"/>
        <v>-123.078378835</v>
      </c>
    </row>
    <row r="51" spans="9:12" x14ac:dyDescent="0.2">
      <c r="I51">
        <v>3</v>
      </c>
      <c r="J51">
        <v>5</v>
      </c>
      <c r="K51">
        <f t="shared" si="2"/>
        <v>46.000183379999996</v>
      </c>
      <c r="L51">
        <f t="shared" si="3"/>
        <v>-123.07863469999999</v>
      </c>
    </row>
    <row r="52" spans="9:12" x14ac:dyDescent="0.2">
      <c r="I52">
        <v>3</v>
      </c>
      <c r="J52">
        <v>6</v>
      </c>
      <c r="K52">
        <f t="shared" si="2"/>
        <v>45.999821504999993</v>
      </c>
      <c r="L52">
        <f t="shared" si="3"/>
        <v>-123.07889056499999</v>
      </c>
    </row>
    <row r="53" spans="9:12" x14ac:dyDescent="0.2">
      <c r="I53">
        <v>3</v>
      </c>
      <c r="J53">
        <v>7</v>
      </c>
      <c r="K53">
        <f t="shared" si="2"/>
        <v>45.999459629999997</v>
      </c>
      <c r="L53">
        <f t="shared" si="3"/>
        <v>-123.07914642999999</v>
      </c>
    </row>
    <row r="54" spans="9:12" x14ac:dyDescent="0.2">
      <c r="I54">
        <v>3</v>
      </c>
      <c r="J54">
        <v>8</v>
      </c>
      <c r="K54">
        <f t="shared" si="2"/>
        <v>45.999097754999994</v>
      </c>
      <c r="L54">
        <f t="shared" si="3"/>
        <v>-123.07940229499999</v>
      </c>
    </row>
    <row r="55" spans="9:12" x14ac:dyDescent="0.2">
      <c r="I55">
        <v>3</v>
      </c>
      <c r="J55">
        <v>9</v>
      </c>
      <c r="K55">
        <f t="shared" si="2"/>
        <v>45.998735879999998</v>
      </c>
      <c r="L55">
        <f t="shared" si="3"/>
        <v>-123.07965815999999</v>
      </c>
    </row>
    <row r="56" spans="9:12" x14ac:dyDescent="0.2">
      <c r="I56">
        <v>3</v>
      </c>
      <c r="J56">
        <v>10</v>
      </c>
      <c r="K56">
        <f t="shared" si="2"/>
        <v>45.998374004999995</v>
      </c>
      <c r="L56">
        <f t="shared" si="3"/>
        <v>-123.07991402499999</v>
      </c>
    </row>
    <row r="57" spans="9:12" x14ac:dyDescent="0.2">
      <c r="I57">
        <v>3</v>
      </c>
      <c r="J57">
        <v>11</v>
      </c>
      <c r="K57">
        <f t="shared" si="2"/>
        <v>45.998012129999999</v>
      </c>
      <c r="L57">
        <f t="shared" si="3"/>
        <v>-123.08016988999999</v>
      </c>
    </row>
    <row r="58" spans="9:12" x14ac:dyDescent="0.2">
      <c r="I58">
        <v>3</v>
      </c>
      <c r="J58">
        <v>12</v>
      </c>
      <c r="K58">
        <f t="shared" si="2"/>
        <v>45.997650254999996</v>
      </c>
      <c r="L58">
        <f t="shared" si="3"/>
        <v>-123.08042575499999</v>
      </c>
    </row>
    <row r="59" spans="9:12" x14ac:dyDescent="0.2">
      <c r="I59">
        <v>4</v>
      </c>
      <c r="J59">
        <v>0</v>
      </c>
      <c r="K59">
        <f t="shared" si="2"/>
        <v>46.002248619999996</v>
      </c>
      <c r="L59">
        <f t="shared" si="3"/>
        <v>-123.07771724999999</v>
      </c>
    </row>
    <row r="60" spans="9:12" x14ac:dyDescent="0.2">
      <c r="I60">
        <v>4</v>
      </c>
      <c r="J60">
        <v>1</v>
      </c>
      <c r="K60">
        <f t="shared" si="2"/>
        <v>46.001886744999993</v>
      </c>
      <c r="L60">
        <f t="shared" si="3"/>
        <v>-123.07797311499999</v>
      </c>
    </row>
    <row r="61" spans="9:12" x14ac:dyDescent="0.2">
      <c r="I61">
        <v>4</v>
      </c>
      <c r="J61">
        <v>2</v>
      </c>
      <c r="K61">
        <f t="shared" si="2"/>
        <v>46.001524869999997</v>
      </c>
      <c r="L61">
        <f t="shared" si="3"/>
        <v>-123.07822897999999</v>
      </c>
    </row>
    <row r="62" spans="9:12" x14ac:dyDescent="0.2">
      <c r="I62">
        <v>4</v>
      </c>
      <c r="J62">
        <v>3</v>
      </c>
      <c r="K62">
        <f t="shared" si="2"/>
        <v>46.001162994999994</v>
      </c>
      <c r="L62">
        <f t="shared" si="3"/>
        <v>-123.07848484499999</v>
      </c>
    </row>
    <row r="63" spans="9:12" x14ac:dyDescent="0.2">
      <c r="I63">
        <v>4</v>
      </c>
      <c r="J63">
        <v>4</v>
      </c>
      <c r="K63">
        <f t="shared" si="2"/>
        <v>46.000801119999998</v>
      </c>
      <c r="L63">
        <f t="shared" si="3"/>
        <v>-123.07874070999999</v>
      </c>
    </row>
    <row r="64" spans="9:12" x14ac:dyDescent="0.2">
      <c r="I64">
        <v>4</v>
      </c>
      <c r="J64">
        <v>5</v>
      </c>
      <c r="K64">
        <f t="shared" si="2"/>
        <v>46.000439244999995</v>
      </c>
      <c r="L64">
        <f t="shared" si="3"/>
        <v>-123.07899657499999</v>
      </c>
    </row>
    <row r="65" spans="9:12" x14ac:dyDescent="0.2">
      <c r="I65">
        <v>4</v>
      </c>
      <c r="J65">
        <v>6</v>
      </c>
      <c r="K65">
        <f t="shared" si="2"/>
        <v>46.000077369999993</v>
      </c>
      <c r="L65">
        <f t="shared" si="3"/>
        <v>-123.07925243999999</v>
      </c>
    </row>
    <row r="66" spans="9:12" x14ac:dyDescent="0.2">
      <c r="I66">
        <v>4</v>
      </c>
      <c r="J66">
        <v>7</v>
      </c>
      <c r="K66">
        <f t="shared" si="2"/>
        <v>45.999715494999997</v>
      </c>
      <c r="L66">
        <f t="shared" si="3"/>
        <v>-123.07950830499999</v>
      </c>
    </row>
    <row r="67" spans="9:12" x14ac:dyDescent="0.2">
      <c r="I67">
        <v>4</v>
      </c>
      <c r="J67">
        <v>8</v>
      </c>
      <c r="K67">
        <f t="shared" si="2"/>
        <v>45.999353619999994</v>
      </c>
      <c r="L67">
        <f t="shared" si="3"/>
        <v>-123.07976416999999</v>
      </c>
    </row>
    <row r="68" spans="9:12" x14ac:dyDescent="0.2">
      <c r="I68">
        <v>4</v>
      </c>
      <c r="J68">
        <v>9</v>
      </c>
      <c r="K68">
        <f t="shared" si="2"/>
        <v>45.998991744999998</v>
      </c>
      <c r="L68">
        <f t="shared" si="3"/>
        <v>-123.08002003499999</v>
      </c>
    </row>
    <row r="69" spans="9:12" x14ac:dyDescent="0.2">
      <c r="I69">
        <v>4</v>
      </c>
      <c r="J69">
        <v>10</v>
      </c>
      <c r="K69">
        <f t="shared" si="2"/>
        <v>45.998629869999995</v>
      </c>
      <c r="L69">
        <f t="shared" si="3"/>
        <v>-123.08027589999999</v>
      </c>
    </row>
    <row r="70" spans="9:12" x14ac:dyDescent="0.2">
      <c r="I70">
        <v>4</v>
      </c>
      <c r="J70">
        <v>11</v>
      </c>
      <c r="K70">
        <f t="shared" ref="K70:K101" si="4">$K$2+0.5*($I70*$O$2)-0.5*($J70*$P$2)</f>
        <v>45.998267994999999</v>
      </c>
      <c r="L70">
        <f t="shared" ref="L70:L101" si="5">$L$2-0.5*($J70*$O$2)-0.5*($I70*$P$2)</f>
        <v>-123.08053176499999</v>
      </c>
    </row>
    <row r="71" spans="9:12" x14ac:dyDescent="0.2">
      <c r="I71">
        <v>4</v>
      </c>
      <c r="J71">
        <v>12</v>
      </c>
      <c r="K71">
        <f t="shared" si="4"/>
        <v>45.997906119999996</v>
      </c>
      <c r="L71">
        <f t="shared" si="5"/>
        <v>-123.08078762999999</v>
      </c>
    </row>
    <row r="72" spans="9:12" x14ac:dyDescent="0.2">
      <c r="I72">
        <v>5</v>
      </c>
      <c r="J72">
        <v>0</v>
      </c>
      <c r="K72">
        <f t="shared" si="4"/>
        <v>46.002504484999996</v>
      </c>
      <c r="L72">
        <f t="shared" si="5"/>
        <v>-123.07807912499999</v>
      </c>
    </row>
    <row r="73" spans="9:12" x14ac:dyDescent="0.2">
      <c r="I73">
        <v>5</v>
      </c>
      <c r="J73">
        <v>1</v>
      </c>
      <c r="K73">
        <f t="shared" si="4"/>
        <v>46.002142609999993</v>
      </c>
      <c r="L73">
        <f t="shared" si="5"/>
        <v>-123.07833498999999</v>
      </c>
    </row>
    <row r="74" spans="9:12" x14ac:dyDescent="0.2">
      <c r="I74">
        <v>5</v>
      </c>
      <c r="J74">
        <v>2</v>
      </c>
      <c r="K74">
        <f t="shared" si="4"/>
        <v>46.001780734999997</v>
      </c>
      <c r="L74">
        <f t="shared" si="5"/>
        <v>-123.07859085499999</v>
      </c>
    </row>
    <row r="75" spans="9:12" x14ac:dyDescent="0.2">
      <c r="I75">
        <v>5</v>
      </c>
      <c r="J75">
        <v>3</v>
      </c>
      <c r="K75">
        <f t="shared" si="4"/>
        <v>46.001418859999994</v>
      </c>
      <c r="L75">
        <f t="shared" si="5"/>
        <v>-123.07884671999999</v>
      </c>
    </row>
    <row r="76" spans="9:12" x14ac:dyDescent="0.2">
      <c r="I76">
        <v>5</v>
      </c>
      <c r="J76">
        <v>4</v>
      </c>
      <c r="K76">
        <f t="shared" si="4"/>
        <v>46.001056984999998</v>
      </c>
      <c r="L76">
        <f t="shared" si="5"/>
        <v>-123.07910258499999</v>
      </c>
    </row>
    <row r="77" spans="9:12" x14ac:dyDescent="0.2">
      <c r="I77">
        <v>5</v>
      </c>
      <c r="J77">
        <v>5</v>
      </c>
      <c r="K77">
        <f t="shared" si="4"/>
        <v>46.000695109999995</v>
      </c>
      <c r="L77">
        <f t="shared" si="5"/>
        <v>-123.07935844999999</v>
      </c>
    </row>
    <row r="78" spans="9:12" x14ac:dyDescent="0.2">
      <c r="I78">
        <v>5</v>
      </c>
      <c r="J78">
        <v>6</v>
      </c>
      <c r="K78">
        <f t="shared" si="4"/>
        <v>46.000333234999992</v>
      </c>
      <c r="L78">
        <f t="shared" si="5"/>
        <v>-123.07961431499999</v>
      </c>
    </row>
    <row r="79" spans="9:12" x14ac:dyDescent="0.2">
      <c r="I79">
        <v>5</v>
      </c>
      <c r="J79">
        <v>7</v>
      </c>
      <c r="K79">
        <f t="shared" si="4"/>
        <v>45.999971359999996</v>
      </c>
      <c r="L79">
        <f t="shared" si="5"/>
        <v>-123.07987017999999</v>
      </c>
    </row>
    <row r="80" spans="9:12" x14ac:dyDescent="0.2">
      <c r="I80">
        <v>5</v>
      </c>
      <c r="J80">
        <v>8</v>
      </c>
      <c r="K80">
        <f t="shared" si="4"/>
        <v>45.999609484999993</v>
      </c>
      <c r="L80">
        <f t="shared" si="5"/>
        <v>-123.08012604499999</v>
      </c>
    </row>
    <row r="81" spans="9:12" x14ac:dyDescent="0.2">
      <c r="I81">
        <v>5</v>
      </c>
      <c r="J81">
        <v>9</v>
      </c>
      <c r="K81">
        <f t="shared" si="4"/>
        <v>45.999247609999998</v>
      </c>
      <c r="L81">
        <f t="shared" si="5"/>
        <v>-123.08038190999999</v>
      </c>
    </row>
    <row r="82" spans="9:12" x14ac:dyDescent="0.2">
      <c r="I82">
        <v>5</v>
      </c>
      <c r="J82">
        <v>10</v>
      </c>
      <c r="K82">
        <f t="shared" si="4"/>
        <v>45.998885734999995</v>
      </c>
      <c r="L82">
        <f t="shared" si="5"/>
        <v>-123.08063777499999</v>
      </c>
    </row>
    <row r="83" spans="9:12" x14ac:dyDescent="0.2">
      <c r="I83">
        <v>5</v>
      </c>
      <c r="J83">
        <v>11</v>
      </c>
      <c r="K83">
        <f t="shared" si="4"/>
        <v>45.998523859999999</v>
      </c>
      <c r="L83">
        <f t="shared" si="5"/>
        <v>-123.08089363999999</v>
      </c>
    </row>
    <row r="84" spans="9:12" x14ac:dyDescent="0.2">
      <c r="I84">
        <v>5</v>
      </c>
      <c r="J84">
        <v>12</v>
      </c>
      <c r="K84">
        <f t="shared" si="4"/>
        <v>45.998161984999996</v>
      </c>
      <c r="L84">
        <f t="shared" si="5"/>
        <v>-123.08114950499998</v>
      </c>
    </row>
    <row r="85" spans="9:12" x14ac:dyDescent="0.2">
      <c r="I85">
        <v>6</v>
      </c>
      <c r="J85">
        <v>0</v>
      </c>
      <c r="K85">
        <f t="shared" si="4"/>
        <v>46.002760349999996</v>
      </c>
      <c r="L85">
        <f t="shared" si="5"/>
        <v>-123.078441</v>
      </c>
    </row>
    <row r="86" spans="9:12" x14ac:dyDescent="0.2">
      <c r="I86">
        <v>6</v>
      </c>
      <c r="J86">
        <v>1</v>
      </c>
      <c r="K86">
        <f t="shared" si="4"/>
        <v>46.002398474999993</v>
      </c>
      <c r="L86">
        <f t="shared" si="5"/>
        <v>-123.078696865</v>
      </c>
    </row>
    <row r="87" spans="9:12" x14ac:dyDescent="0.2">
      <c r="I87">
        <v>6</v>
      </c>
      <c r="J87">
        <v>2</v>
      </c>
      <c r="K87">
        <f t="shared" si="4"/>
        <v>46.002036599999997</v>
      </c>
      <c r="L87">
        <f t="shared" si="5"/>
        <v>-123.07895273</v>
      </c>
    </row>
    <row r="88" spans="9:12" x14ac:dyDescent="0.2">
      <c r="I88">
        <v>6</v>
      </c>
      <c r="J88">
        <v>3</v>
      </c>
      <c r="K88">
        <f t="shared" si="4"/>
        <v>46.001674724999994</v>
      </c>
      <c r="L88">
        <f t="shared" si="5"/>
        <v>-123.079208595</v>
      </c>
    </row>
    <row r="89" spans="9:12" x14ac:dyDescent="0.2">
      <c r="I89">
        <v>6</v>
      </c>
      <c r="J89">
        <v>4</v>
      </c>
      <c r="K89">
        <f t="shared" si="4"/>
        <v>46.001312849999998</v>
      </c>
      <c r="L89">
        <f t="shared" si="5"/>
        <v>-123.07946446</v>
      </c>
    </row>
    <row r="90" spans="9:12" x14ac:dyDescent="0.2">
      <c r="I90">
        <v>6</v>
      </c>
      <c r="J90">
        <v>5</v>
      </c>
      <c r="K90">
        <f t="shared" si="4"/>
        <v>46.000950974999995</v>
      </c>
      <c r="L90">
        <f t="shared" si="5"/>
        <v>-123.079720325</v>
      </c>
    </row>
    <row r="91" spans="9:12" x14ac:dyDescent="0.2">
      <c r="I91">
        <v>6</v>
      </c>
      <c r="J91">
        <v>6</v>
      </c>
      <c r="K91">
        <f t="shared" si="4"/>
        <v>46.000589099999992</v>
      </c>
      <c r="L91">
        <f t="shared" si="5"/>
        <v>-123.07997619</v>
      </c>
    </row>
    <row r="92" spans="9:12" x14ac:dyDescent="0.2">
      <c r="I92">
        <v>6</v>
      </c>
      <c r="J92">
        <v>7</v>
      </c>
      <c r="K92">
        <f t="shared" si="4"/>
        <v>46.000227224999996</v>
      </c>
      <c r="L92">
        <f t="shared" si="5"/>
        <v>-123.080232055</v>
      </c>
    </row>
    <row r="93" spans="9:12" x14ac:dyDescent="0.2">
      <c r="I93">
        <v>6</v>
      </c>
      <c r="J93">
        <v>8</v>
      </c>
      <c r="K93">
        <f t="shared" si="4"/>
        <v>45.999865349999993</v>
      </c>
      <c r="L93">
        <f t="shared" si="5"/>
        <v>-123.08048792</v>
      </c>
    </row>
    <row r="94" spans="9:12" x14ac:dyDescent="0.2">
      <c r="I94">
        <v>6</v>
      </c>
      <c r="J94">
        <v>9</v>
      </c>
      <c r="K94">
        <f t="shared" si="4"/>
        <v>45.999503474999997</v>
      </c>
      <c r="L94">
        <f t="shared" si="5"/>
        <v>-123.080743785</v>
      </c>
    </row>
    <row r="95" spans="9:12" x14ac:dyDescent="0.2">
      <c r="I95">
        <v>6</v>
      </c>
      <c r="J95">
        <v>10</v>
      </c>
      <c r="K95">
        <f t="shared" si="4"/>
        <v>45.999141599999994</v>
      </c>
      <c r="L95">
        <f t="shared" si="5"/>
        <v>-123.08099965</v>
      </c>
    </row>
    <row r="96" spans="9:12" x14ac:dyDescent="0.2">
      <c r="I96">
        <v>6</v>
      </c>
      <c r="J96">
        <v>11</v>
      </c>
      <c r="K96">
        <f t="shared" si="4"/>
        <v>45.998779724999999</v>
      </c>
      <c r="L96">
        <f t="shared" si="5"/>
        <v>-123.081255515</v>
      </c>
    </row>
    <row r="97" spans="9:12" x14ac:dyDescent="0.2">
      <c r="I97">
        <v>6</v>
      </c>
      <c r="J97">
        <v>12</v>
      </c>
      <c r="K97">
        <f t="shared" si="4"/>
        <v>45.998417849999996</v>
      </c>
      <c r="L97">
        <f t="shared" si="5"/>
        <v>-123.08151137999999</v>
      </c>
    </row>
    <row r="98" spans="9:12" x14ac:dyDescent="0.2">
      <c r="I98">
        <v>7</v>
      </c>
      <c r="J98">
        <v>0</v>
      </c>
      <c r="K98">
        <f t="shared" si="4"/>
        <v>46.003016214999995</v>
      </c>
      <c r="L98">
        <f t="shared" si="5"/>
        <v>-123.07880287499999</v>
      </c>
    </row>
    <row r="99" spans="9:12" x14ac:dyDescent="0.2">
      <c r="I99">
        <v>7</v>
      </c>
      <c r="J99">
        <v>1</v>
      </c>
      <c r="K99">
        <f t="shared" si="4"/>
        <v>46.002654339999992</v>
      </c>
      <c r="L99">
        <f t="shared" si="5"/>
        <v>-123.07905873999999</v>
      </c>
    </row>
    <row r="100" spans="9:12" x14ac:dyDescent="0.2">
      <c r="I100">
        <v>7</v>
      </c>
      <c r="J100">
        <v>2</v>
      </c>
      <c r="K100">
        <f t="shared" si="4"/>
        <v>46.002292464999996</v>
      </c>
      <c r="L100">
        <f t="shared" si="5"/>
        <v>-123.07931460499999</v>
      </c>
    </row>
    <row r="101" spans="9:12" x14ac:dyDescent="0.2">
      <c r="I101">
        <v>7</v>
      </c>
      <c r="J101">
        <v>3</v>
      </c>
      <c r="K101">
        <f t="shared" si="4"/>
        <v>46.001930589999994</v>
      </c>
      <c r="L101">
        <f t="shared" si="5"/>
        <v>-123.07957046999999</v>
      </c>
    </row>
    <row r="102" spans="9:12" x14ac:dyDescent="0.2">
      <c r="I102">
        <v>7</v>
      </c>
      <c r="J102">
        <v>4</v>
      </c>
      <c r="K102">
        <f t="shared" ref="K102:K133" si="6">$K$2+0.5*($I102*$O$2)-0.5*($J102*$P$2)</f>
        <v>46.001568714999998</v>
      </c>
      <c r="L102">
        <f t="shared" ref="L102:L133" si="7">$L$2-0.5*($J102*$O$2)-0.5*($I102*$P$2)</f>
        <v>-123.07982633499999</v>
      </c>
    </row>
    <row r="103" spans="9:12" x14ac:dyDescent="0.2">
      <c r="I103">
        <v>7</v>
      </c>
      <c r="J103">
        <v>5</v>
      </c>
      <c r="K103">
        <f t="shared" si="6"/>
        <v>46.001206839999995</v>
      </c>
      <c r="L103">
        <f t="shared" si="7"/>
        <v>-123.08008219999999</v>
      </c>
    </row>
    <row r="104" spans="9:12" x14ac:dyDescent="0.2">
      <c r="I104">
        <v>7</v>
      </c>
      <c r="J104">
        <v>6</v>
      </c>
      <c r="K104">
        <f t="shared" si="6"/>
        <v>46.000844964999992</v>
      </c>
      <c r="L104">
        <f t="shared" si="7"/>
        <v>-123.08033806499999</v>
      </c>
    </row>
    <row r="105" spans="9:12" x14ac:dyDescent="0.2">
      <c r="I105">
        <v>7</v>
      </c>
      <c r="J105">
        <v>7</v>
      </c>
      <c r="K105">
        <f t="shared" si="6"/>
        <v>46.000483089999996</v>
      </c>
      <c r="L105">
        <f t="shared" si="7"/>
        <v>-123.08059392999999</v>
      </c>
    </row>
    <row r="106" spans="9:12" x14ac:dyDescent="0.2">
      <c r="I106">
        <v>7</v>
      </c>
      <c r="J106">
        <v>8</v>
      </c>
      <c r="K106">
        <f t="shared" si="6"/>
        <v>46.000121214999993</v>
      </c>
      <c r="L106">
        <f t="shared" si="7"/>
        <v>-123.08084979499999</v>
      </c>
    </row>
    <row r="107" spans="9:12" x14ac:dyDescent="0.2">
      <c r="I107">
        <v>7</v>
      </c>
      <c r="J107">
        <v>9</v>
      </c>
      <c r="K107">
        <f t="shared" si="6"/>
        <v>45.999759339999997</v>
      </c>
      <c r="L107">
        <f t="shared" si="7"/>
        <v>-123.08110565999999</v>
      </c>
    </row>
    <row r="108" spans="9:12" x14ac:dyDescent="0.2">
      <c r="I108">
        <v>7</v>
      </c>
      <c r="J108">
        <v>10</v>
      </c>
      <c r="K108">
        <f t="shared" si="6"/>
        <v>45.999397464999994</v>
      </c>
      <c r="L108">
        <f t="shared" si="7"/>
        <v>-123.08136152499999</v>
      </c>
    </row>
    <row r="109" spans="9:12" x14ac:dyDescent="0.2">
      <c r="I109">
        <v>7</v>
      </c>
      <c r="J109">
        <v>11</v>
      </c>
      <c r="K109">
        <f t="shared" si="6"/>
        <v>45.999035589999998</v>
      </c>
      <c r="L109">
        <f t="shared" si="7"/>
        <v>-123.08161738999999</v>
      </c>
    </row>
    <row r="110" spans="9:12" x14ac:dyDescent="0.2">
      <c r="I110">
        <v>7</v>
      </c>
      <c r="J110">
        <v>12</v>
      </c>
      <c r="K110">
        <f t="shared" si="6"/>
        <v>45.998673714999995</v>
      </c>
      <c r="L110">
        <f t="shared" si="7"/>
        <v>-123.08187325499999</v>
      </c>
    </row>
    <row r="111" spans="9:12" x14ac:dyDescent="0.2">
      <c r="I111">
        <v>8</v>
      </c>
      <c r="J111">
        <v>0</v>
      </c>
      <c r="K111">
        <f t="shared" si="6"/>
        <v>46.003272079999995</v>
      </c>
      <c r="L111">
        <f t="shared" si="7"/>
        <v>-123.07916474999999</v>
      </c>
    </row>
    <row r="112" spans="9:12" x14ac:dyDescent="0.2">
      <c r="I112">
        <v>8</v>
      </c>
      <c r="J112">
        <v>1</v>
      </c>
      <c r="K112">
        <f t="shared" si="6"/>
        <v>46.002910204999992</v>
      </c>
      <c r="L112">
        <f t="shared" si="7"/>
        <v>-123.07942061499999</v>
      </c>
    </row>
    <row r="113" spans="9:12" x14ac:dyDescent="0.2">
      <c r="I113">
        <v>8</v>
      </c>
      <c r="J113">
        <v>2</v>
      </c>
      <c r="K113">
        <f t="shared" si="6"/>
        <v>46.002548329999996</v>
      </c>
      <c r="L113">
        <f t="shared" si="7"/>
        <v>-123.07967647999999</v>
      </c>
    </row>
    <row r="114" spans="9:12" x14ac:dyDescent="0.2">
      <c r="I114">
        <v>8</v>
      </c>
      <c r="J114">
        <v>3</v>
      </c>
      <c r="K114">
        <f t="shared" si="6"/>
        <v>46.002186454999993</v>
      </c>
      <c r="L114">
        <f t="shared" si="7"/>
        <v>-123.07993234499999</v>
      </c>
    </row>
    <row r="115" spans="9:12" x14ac:dyDescent="0.2">
      <c r="I115">
        <v>8</v>
      </c>
      <c r="J115">
        <v>4</v>
      </c>
      <c r="K115">
        <f t="shared" si="6"/>
        <v>46.001824579999997</v>
      </c>
      <c r="L115">
        <f t="shared" si="7"/>
        <v>-123.08018820999999</v>
      </c>
    </row>
    <row r="116" spans="9:12" x14ac:dyDescent="0.2">
      <c r="I116">
        <v>8</v>
      </c>
      <c r="J116">
        <v>5</v>
      </c>
      <c r="K116">
        <f t="shared" si="6"/>
        <v>46.001462704999994</v>
      </c>
      <c r="L116">
        <f t="shared" si="7"/>
        <v>-123.08044407499999</v>
      </c>
    </row>
    <row r="117" spans="9:12" x14ac:dyDescent="0.2">
      <c r="I117">
        <v>8</v>
      </c>
      <c r="J117">
        <v>6</v>
      </c>
      <c r="K117">
        <f t="shared" si="6"/>
        <v>46.001100829999992</v>
      </c>
      <c r="L117">
        <f t="shared" si="7"/>
        <v>-123.08069993999999</v>
      </c>
    </row>
    <row r="118" spans="9:12" x14ac:dyDescent="0.2">
      <c r="I118">
        <v>8</v>
      </c>
      <c r="J118">
        <v>7</v>
      </c>
      <c r="K118">
        <f t="shared" si="6"/>
        <v>46.000738954999996</v>
      </c>
      <c r="L118">
        <f t="shared" si="7"/>
        <v>-123.08095580499999</v>
      </c>
    </row>
    <row r="119" spans="9:12" x14ac:dyDescent="0.2">
      <c r="I119">
        <v>8</v>
      </c>
      <c r="J119">
        <v>8</v>
      </c>
      <c r="K119">
        <f t="shared" si="6"/>
        <v>46.000377079999993</v>
      </c>
      <c r="L119">
        <f t="shared" si="7"/>
        <v>-123.08121166999999</v>
      </c>
    </row>
    <row r="120" spans="9:12" x14ac:dyDescent="0.2">
      <c r="I120">
        <v>8</v>
      </c>
      <c r="J120">
        <v>9</v>
      </c>
      <c r="K120">
        <f t="shared" si="6"/>
        <v>46.000015204999997</v>
      </c>
      <c r="L120">
        <f t="shared" si="7"/>
        <v>-123.08146753499999</v>
      </c>
    </row>
    <row r="121" spans="9:12" x14ac:dyDescent="0.2">
      <c r="I121">
        <v>8</v>
      </c>
      <c r="J121">
        <v>10</v>
      </c>
      <c r="K121">
        <f t="shared" si="6"/>
        <v>45.999653329999994</v>
      </c>
      <c r="L121">
        <f t="shared" si="7"/>
        <v>-123.08172339999999</v>
      </c>
    </row>
    <row r="122" spans="9:12" x14ac:dyDescent="0.2">
      <c r="I122">
        <v>8</v>
      </c>
      <c r="J122">
        <v>11</v>
      </c>
      <c r="K122">
        <f t="shared" si="6"/>
        <v>45.999291454999998</v>
      </c>
      <c r="L122">
        <f t="shared" si="7"/>
        <v>-123.08197926499999</v>
      </c>
    </row>
    <row r="123" spans="9:12" x14ac:dyDescent="0.2">
      <c r="I123">
        <v>8</v>
      </c>
      <c r="J123">
        <v>12</v>
      </c>
      <c r="K123">
        <f t="shared" si="6"/>
        <v>45.998929579999995</v>
      </c>
      <c r="L123">
        <f t="shared" si="7"/>
        <v>-123.08223512999999</v>
      </c>
    </row>
    <row r="124" spans="9:12" x14ac:dyDescent="0.2">
      <c r="I124">
        <v>9</v>
      </c>
      <c r="J124">
        <v>0</v>
      </c>
      <c r="K124">
        <f t="shared" si="6"/>
        <v>46.003527944999995</v>
      </c>
      <c r="L124">
        <f t="shared" si="7"/>
        <v>-123.079526625</v>
      </c>
    </row>
    <row r="125" spans="9:12" x14ac:dyDescent="0.2">
      <c r="I125">
        <v>9</v>
      </c>
      <c r="J125">
        <v>1</v>
      </c>
      <c r="K125">
        <f t="shared" si="6"/>
        <v>46.003166069999992</v>
      </c>
      <c r="L125">
        <f t="shared" si="7"/>
        <v>-123.07978249</v>
      </c>
    </row>
    <row r="126" spans="9:12" x14ac:dyDescent="0.2">
      <c r="I126">
        <v>9</v>
      </c>
      <c r="J126">
        <v>2</v>
      </c>
      <c r="K126">
        <f t="shared" si="6"/>
        <v>46.002804194999996</v>
      </c>
      <c r="L126">
        <f t="shared" si="7"/>
        <v>-123.080038355</v>
      </c>
    </row>
    <row r="127" spans="9:12" x14ac:dyDescent="0.2">
      <c r="I127">
        <v>9</v>
      </c>
      <c r="J127">
        <v>3</v>
      </c>
      <c r="K127">
        <f t="shared" si="6"/>
        <v>46.002442319999993</v>
      </c>
      <c r="L127">
        <f t="shared" si="7"/>
        <v>-123.08029422</v>
      </c>
    </row>
    <row r="128" spans="9:12" x14ac:dyDescent="0.2">
      <c r="I128">
        <v>9</v>
      </c>
      <c r="J128">
        <v>4</v>
      </c>
      <c r="K128">
        <f t="shared" si="6"/>
        <v>46.002080444999997</v>
      </c>
      <c r="L128">
        <f t="shared" si="7"/>
        <v>-123.080550085</v>
      </c>
    </row>
    <row r="129" spans="9:12" x14ac:dyDescent="0.2">
      <c r="I129">
        <v>9</v>
      </c>
      <c r="J129">
        <v>5</v>
      </c>
      <c r="K129">
        <f t="shared" si="6"/>
        <v>46.001718569999994</v>
      </c>
      <c r="L129">
        <f t="shared" si="7"/>
        <v>-123.08080595</v>
      </c>
    </row>
    <row r="130" spans="9:12" x14ac:dyDescent="0.2">
      <c r="I130">
        <v>9</v>
      </c>
      <c r="J130">
        <v>6</v>
      </c>
      <c r="K130">
        <f t="shared" si="6"/>
        <v>46.001356694999991</v>
      </c>
      <c r="L130">
        <f t="shared" si="7"/>
        <v>-123.081061815</v>
      </c>
    </row>
    <row r="131" spans="9:12" x14ac:dyDescent="0.2">
      <c r="I131">
        <v>9</v>
      </c>
      <c r="J131">
        <v>7</v>
      </c>
      <c r="K131">
        <f t="shared" si="6"/>
        <v>46.000994819999995</v>
      </c>
      <c r="L131">
        <f t="shared" si="7"/>
        <v>-123.08131768</v>
      </c>
    </row>
    <row r="132" spans="9:12" x14ac:dyDescent="0.2">
      <c r="I132">
        <v>9</v>
      </c>
      <c r="J132">
        <v>8</v>
      </c>
      <c r="K132">
        <f t="shared" si="6"/>
        <v>46.000632944999992</v>
      </c>
      <c r="L132">
        <f t="shared" si="7"/>
        <v>-123.081573545</v>
      </c>
    </row>
    <row r="133" spans="9:12" x14ac:dyDescent="0.2">
      <c r="I133">
        <v>9</v>
      </c>
      <c r="J133">
        <v>9</v>
      </c>
      <c r="K133">
        <f t="shared" si="6"/>
        <v>46.000271069999997</v>
      </c>
      <c r="L133">
        <f t="shared" si="7"/>
        <v>-123.08182941</v>
      </c>
    </row>
    <row r="134" spans="9:12" x14ac:dyDescent="0.2">
      <c r="I134">
        <v>9</v>
      </c>
      <c r="J134">
        <v>10</v>
      </c>
      <c r="K134">
        <f t="shared" ref="K134:K165" si="8">$K$2+0.5*($I134*$O$2)-0.5*($J134*$P$2)</f>
        <v>45.999909194999994</v>
      </c>
      <c r="L134">
        <f t="shared" ref="L134:L165" si="9">$L$2-0.5*($J134*$O$2)-0.5*($I134*$P$2)</f>
        <v>-123.082085275</v>
      </c>
    </row>
    <row r="135" spans="9:12" x14ac:dyDescent="0.2">
      <c r="I135">
        <v>9</v>
      </c>
      <c r="J135">
        <v>11</v>
      </c>
      <c r="K135">
        <f t="shared" si="8"/>
        <v>45.999547319999998</v>
      </c>
      <c r="L135">
        <f t="shared" si="9"/>
        <v>-123.08234114</v>
      </c>
    </row>
    <row r="136" spans="9:12" x14ac:dyDescent="0.2">
      <c r="I136">
        <v>9</v>
      </c>
      <c r="J136">
        <v>12</v>
      </c>
      <c r="K136">
        <f t="shared" si="8"/>
        <v>45.999185444999995</v>
      </c>
      <c r="L136">
        <f t="shared" si="9"/>
        <v>-123.082597005</v>
      </c>
    </row>
    <row r="137" spans="9:12" x14ac:dyDescent="0.2">
      <c r="I137">
        <v>10</v>
      </c>
      <c r="J137">
        <v>0</v>
      </c>
      <c r="K137">
        <f t="shared" si="8"/>
        <v>46.003783809999995</v>
      </c>
      <c r="L137">
        <f t="shared" si="9"/>
        <v>-123.0798885</v>
      </c>
    </row>
    <row r="138" spans="9:12" x14ac:dyDescent="0.2">
      <c r="I138">
        <v>10</v>
      </c>
      <c r="J138">
        <v>1</v>
      </c>
      <c r="K138">
        <f t="shared" si="8"/>
        <v>46.003421934999992</v>
      </c>
      <c r="L138">
        <f t="shared" si="9"/>
        <v>-123.080144365</v>
      </c>
    </row>
    <row r="139" spans="9:12" x14ac:dyDescent="0.2">
      <c r="I139">
        <v>10</v>
      </c>
      <c r="J139">
        <v>2</v>
      </c>
      <c r="K139">
        <f t="shared" si="8"/>
        <v>46.003060059999996</v>
      </c>
      <c r="L139">
        <f t="shared" si="9"/>
        <v>-123.08040023</v>
      </c>
    </row>
    <row r="140" spans="9:12" x14ac:dyDescent="0.2">
      <c r="I140">
        <v>10</v>
      </c>
      <c r="J140">
        <v>3</v>
      </c>
      <c r="K140">
        <f t="shared" si="8"/>
        <v>46.002698184999993</v>
      </c>
      <c r="L140">
        <f t="shared" si="9"/>
        <v>-123.08065609499999</v>
      </c>
    </row>
    <row r="141" spans="9:12" x14ac:dyDescent="0.2">
      <c r="I141">
        <v>10</v>
      </c>
      <c r="J141">
        <v>4</v>
      </c>
      <c r="K141">
        <f t="shared" si="8"/>
        <v>46.002336309999997</v>
      </c>
      <c r="L141">
        <f t="shared" si="9"/>
        <v>-123.08091195999999</v>
      </c>
    </row>
    <row r="142" spans="9:12" x14ac:dyDescent="0.2">
      <c r="I142">
        <v>10</v>
      </c>
      <c r="J142">
        <v>5</v>
      </c>
      <c r="K142">
        <f t="shared" si="8"/>
        <v>46.001974434999994</v>
      </c>
      <c r="L142">
        <f t="shared" si="9"/>
        <v>-123.08116782499999</v>
      </c>
    </row>
    <row r="143" spans="9:12" x14ac:dyDescent="0.2">
      <c r="I143">
        <v>10</v>
      </c>
      <c r="J143">
        <v>6</v>
      </c>
      <c r="K143">
        <f t="shared" si="8"/>
        <v>46.001612559999991</v>
      </c>
      <c r="L143">
        <f t="shared" si="9"/>
        <v>-123.08142368999999</v>
      </c>
    </row>
    <row r="144" spans="9:12" x14ac:dyDescent="0.2">
      <c r="I144">
        <v>10</v>
      </c>
      <c r="J144">
        <v>7</v>
      </c>
      <c r="K144">
        <f t="shared" si="8"/>
        <v>46.001250684999995</v>
      </c>
      <c r="L144">
        <f t="shared" si="9"/>
        <v>-123.08167955499999</v>
      </c>
    </row>
    <row r="145" spans="9:12" x14ac:dyDescent="0.2">
      <c r="I145">
        <v>10</v>
      </c>
      <c r="J145">
        <v>8</v>
      </c>
      <c r="K145">
        <f t="shared" si="8"/>
        <v>46.000888809999992</v>
      </c>
      <c r="L145">
        <f t="shared" si="9"/>
        <v>-123.08193541999999</v>
      </c>
    </row>
    <row r="146" spans="9:12" x14ac:dyDescent="0.2">
      <c r="I146">
        <v>10</v>
      </c>
      <c r="J146">
        <v>9</v>
      </c>
      <c r="K146">
        <f t="shared" si="8"/>
        <v>46.000526934999996</v>
      </c>
      <c r="L146">
        <f t="shared" si="9"/>
        <v>-123.08219128499999</v>
      </c>
    </row>
    <row r="147" spans="9:12" x14ac:dyDescent="0.2">
      <c r="I147">
        <v>10</v>
      </c>
      <c r="J147">
        <v>10</v>
      </c>
      <c r="K147">
        <f t="shared" si="8"/>
        <v>46.000165059999993</v>
      </c>
      <c r="L147">
        <f t="shared" si="9"/>
        <v>-123.08244714999999</v>
      </c>
    </row>
    <row r="148" spans="9:12" x14ac:dyDescent="0.2">
      <c r="I148">
        <v>10</v>
      </c>
      <c r="J148">
        <v>11</v>
      </c>
      <c r="K148">
        <f t="shared" si="8"/>
        <v>45.999803184999998</v>
      </c>
      <c r="L148">
        <f t="shared" si="9"/>
        <v>-123.08270301499999</v>
      </c>
    </row>
    <row r="149" spans="9:12" x14ac:dyDescent="0.2">
      <c r="I149">
        <v>10</v>
      </c>
      <c r="J149">
        <v>12</v>
      </c>
      <c r="K149">
        <f t="shared" si="8"/>
        <v>45.999441309999995</v>
      </c>
      <c r="L149">
        <f t="shared" si="9"/>
        <v>-123.08295887999999</v>
      </c>
    </row>
    <row r="150" spans="9:12" x14ac:dyDescent="0.2">
      <c r="I150">
        <v>11</v>
      </c>
      <c r="J150">
        <v>0</v>
      </c>
      <c r="K150">
        <f t="shared" si="8"/>
        <v>46.004039674999994</v>
      </c>
      <c r="L150">
        <f t="shared" si="9"/>
        <v>-123.08025037499999</v>
      </c>
    </row>
    <row r="151" spans="9:12" x14ac:dyDescent="0.2">
      <c r="I151">
        <v>11</v>
      </c>
      <c r="J151">
        <v>1</v>
      </c>
      <c r="K151">
        <f t="shared" si="8"/>
        <v>46.003677799999991</v>
      </c>
      <c r="L151">
        <f t="shared" si="9"/>
        <v>-123.08050623999999</v>
      </c>
    </row>
    <row r="152" spans="9:12" x14ac:dyDescent="0.2">
      <c r="I152">
        <v>11</v>
      </c>
      <c r="J152">
        <v>2</v>
      </c>
      <c r="K152">
        <f t="shared" si="8"/>
        <v>46.003315924999995</v>
      </c>
      <c r="L152">
        <f t="shared" si="9"/>
        <v>-123.08076210499999</v>
      </c>
    </row>
    <row r="153" spans="9:12" x14ac:dyDescent="0.2">
      <c r="I153">
        <v>11</v>
      </c>
      <c r="J153">
        <v>3</v>
      </c>
      <c r="K153">
        <f t="shared" si="8"/>
        <v>46.002954049999992</v>
      </c>
      <c r="L153">
        <f t="shared" si="9"/>
        <v>-123.08101796999999</v>
      </c>
    </row>
    <row r="154" spans="9:12" x14ac:dyDescent="0.2">
      <c r="I154">
        <v>11</v>
      </c>
      <c r="J154">
        <v>4</v>
      </c>
      <c r="K154">
        <f t="shared" si="8"/>
        <v>46.002592174999997</v>
      </c>
      <c r="L154">
        <f t="shared" si="9"/>
        <v>-123.08127383499999</v>
      </c>
    </row>
    <row r="155" spans="9:12" x14ac:dyDescent="0.2">
      <c r="I155">
        <v>11</v>
      </c>
      <c r="J155">
        <v>5</v>
      </c>
      <c r="K155">
        <f t="shared" si="8"/>
        <v>46.002230299999994</v>
      </c>
      <c r="L155">
        <f t="shared" si="9"/>
        <v>-123.08152969999999</v>
      </c>
    </row>
    <row r="156" spans="9:12" x14ac:dyDescent="0.2">
      <c r="I156">
        <v>11</v>
      </c>
      <c r="J156">
        <v>6</v>
      </c>
      <c r="K156">
        <f t="shared" si="8"/>
        <v>46.001868424999991</v>
      </c>
      <c r="L156">
        <f t="shared" si="9"/>
        <v>-123.08178556499999</v>
      </c>
    </row>
    <row r="157" spans="9:12" x14ac:dyDescent="0.2">
      <c r="I157">
        <v>11</v>
      </c>
      <c r="J157">
        <v>7</v>
      </c>
      <c r="K157">
        <f t="shared" si="8"/>
        <v>46.001506549999995</v>
      </c>
      <c r="L157">
        <f t="shared" si="9"/>
        <v>-123.08204142999999</v>
      </c>
    </row>
    <row r="158" spans="9:12" x14ac:dyDescent="0.2">
      <c r="I158">
        <v>11</v>
      </c>
      <c r="J158">
        <v>8</v>
      </c>
      <c r="K158">
        <f t="shared" si="8"/>
        <v>46.001144674999992</v>
      </c>
      <c r="L158">
        <f t="shared" si="9"/>
        <v>-123.08229729499999</v>
      </c>
    </row>
    <row r="159" spans="9:12" x14ac:dyDescent="0.2">
      <c r="I159">
        <v>11</v>
      </c>
      <c r="J159">
        <v>9</v>
      </c>
      <c r="K159">
        <f t="shared" si="8"/>
        <v>46.000782799999996</v>
      </c>
      <c r="L159">
        <f t="shared" si="9"/>
        <v>-123.08255315999999</v>
      </c>
    </row>
    <row r="160" spans="9:12" x14ac:dyDescent="0.2">
      <c r="I160">
        <v>11</v>
      </c>
      <c r="J160">
        <v>10</v>
      </c>
      <c r="K160">
        <f t="shared" si="8"/>
        <v>46.000420924999993</v>
      </c>
      <c r="L160">
        <f t="shared" si="9"/>
        <v>-123.08280902499999</v>
      </c>
    </row>
    <row r="161" spans="9:12" x14ac:dyDescent="0.2">
      <c r="I161">
        <v>11</v>
      </c>
      <c r="J161">
        <v>11</v>
      </c>
      <c r="K161">
        <f t="shared" si="8"/>
        <v>46.000059049999997</v>
      </c>
      <c r="L161">
        <f t="shared" si="9"/>
        <v>-123.08306488999999</v>
      </c>
    </row>
    <row r="162" spans="9:12" x14ac:dyDescent="0.2">
      <c r="I162">
        <v>11</v>
      </c>
      <c r="J162">
        <v>12</v>
      </c>
      <c r="K162">
        <f t="shared" si="8"/>
        <v>45.999697174999994</v>
      </c>
      <c r="L162">
        <f t="shared" si="9"/>
        <v>-123.08332075499999</v>
      </c>
    </row>
    <row r="163" spans="9:12" x14ac:dyDescent="0.2">
      <c r="I163">
        <v>12</v>
      </c>
      <c r="J163">
        <v>0</v>
      </c>
      <c r="K163">
        <f t="shared" si="8"/>
        <v>46.004295539999994</v>
      </c>
      <c r="L163">
        <f t="shared" si="9"/>
        <v>-123.08061225</v>
      </c>
    </row>
    <row r="164" spans="9:12" x14ac:dyDescent="0.2">
      <c r="I164">
        <v>12</v>
      </c>
      <c r="J164">
        <v>1</v>
      </c>
      <c r="K164">
        <f t="shared" si="8"/>
        <v>46.003933664999991</v>
      </c>
      <c r="L164">
        <f t="shared" si="9"/>
        <v>-123.080868115</v>
      </c>
    </row>
    <row r="165" spans="9:12" x14ac:dyDescent="0.2">
      <c r="I165">
        <v>12</v>
      </c>
      <c r="J165">
        <v>2</v>
      </c>
      <c r="K165">
        <f t="shared" si="8"/>
        <v>46.003571789999995</v>
      </c>
      <c r="L165">
        <f t="shared" si="9"/>
        <v>-123.08112398</v>
      </c>
    </row>
    <row r="166" spans="9:12" x14ac:dyDescent="0.2">
      <c r="I166">
        <v>12</v>
      </c>
      <c r="J166">
        <v>3</v>
      </c>
      <c r="K166">
        <f t="shared" ref="K166:K192" si="10">$K$2+0.5*($I166*$O$2)-0.5*($J166*$P$2)</f>
        <v>46.003209914999992</v>
      </c>
      <c r="L166">
        <f t="shared" ref="L166:L192" si="11">$L$2-0.5*($J166*$O$2)-0.5*($I166*$P$2)</f>
        <v>-123.081379845</v>
      </c>
    </row>
    <row r="167" spans="9:12" x14ac:dyDescent="0.2">
      <c r="I167">
        <v>12</v>
      </c>
      <c r="J167">
        <v>4</v>
      </c>
      <c r="K167">
        <f t="shared" si="10"/>
        <v>46.002848039999996</v>
      </c>
      <c r="L167">
        <f t="shared" si="11"/>
        <v>-123.08163571</v>
      </c>
    </row>
    <row r="168" spans="9:12" x14ac:dyDescent="0.2">
      <c r="I168">
        <v>12</v>
      </c>
      <c r="J168">
        <v>5</v>
      </c>
      <c r="K168">
        <f t="shared" si="10"/>
        <v>46.002486164999993</v>
      </c>
      <c r="L168">
        <f t="shared" si="11"/>
        <v>-123.081891575</v>
      </c>
    </row>
    <row r="169" spans="9:12" x14ac:dyDescent="0.2">
      <c r="I169">
        <v>12</v>
      </c>
      <c r="J169">
        <v>6</v>
      </c>
      <c r="K169">
        <f t="shared" si="10"/>
        <v>46.00212428999999</v>
      </c>
      <c r="L169">
        <f t="shared" si="11"/>
        <v>-123.08214744</v>
      </c>
    </row>
    <row r="170" spans="9:12" x14ac:dyDescent="0.2">
      <c r="I170">
        <v>12</v>
      </c>
      <c r="J170">
        <v>7</v>
      </c>
      <c r="K170">
        <f t="shared" si="10"/>
        <v>46.001762414999995</v>
      </c>
      <c r="L170">
        <f t="shared" si="11"/>
        <v>-123.082403305</v>
      </c>
    </row>
    <row r="171" spans="9:12" x14ac:dyDescent="0.2">
      <c r="I171">
        <v>12</v>
      </c>
      <c r="J171">
        <v>8</v>
      </c>
      <c r="K171">
        <f t="shared" si="10"/>
        <v>46.001400539999992</v>
      </c>
      <c r="L171">
        <f t="shared" si="11"/>
        <v>-123.08265917</v>
      </c>
    </row>
    <row r="172" spans="9:12" x14ac:dyDescent="0.2">
      <c r="I172">
        <v>12</v>
      </c>
      <c r="J172">
        <v>9</v>
      </c>
      <c r="K172">
        <f t="shared" si="10"/>
        <v>46.001038664999996</v>
      </c>
      <c r="L172">
        <f t="shared" si="11"/>
        <v>-123.082915035</v>
      </c>
    </row>
    <row r="173" spans="9:12" x14ac:dyDescent="0.2">
      <c r="I173">
        <v>12</v>
      </c>
      <c r="J173">
        <v>10</v>
      </c>
      <c r="K173">
        <f t="shared" si="10"/>
        <v>46.000676789999993</v>
      </c>
      <c r="L173">
        <f t="shared" si="11"/>
        <v>-123.0831709</v>
      </c>
    </row>
    <row r="174" spans="9:12" x14ac:dyDescent="0.2">
      <c r="I174">
        <v>12</v>
      </c>
      <c r="J174">
        <v>11</v>
      </c>
      <c r="K174">
        <f t="shared" si="10"/>
        <v>46.000314914999997</v>
      </c>
      <c r="L174">
        <f t="shared" si="11"/>
        <v>-123.083426765</v>
      </c>
    </row>
    <row r="175" spans="9:12" x14ac:dyDescent="0.2">
      <c r="I175">
        <v>12</v>
      </c>
      <c r="J175">
        <v>12</v>
      </c>
      <c r="K175">
        <f t="shared" si="10"/>
        <v>45.999953039999994</v>
      </c>
      <c r="L175">
        <f t="shared" si="11"/>
        <v>-123.08368263</v>
      </c>
    </row>
    <row r="176" spans="9:12" x14ac:dyDescent="0.2">
      <c r="I176">
        <v>13</v>
      </c>
      <c r="J176">
        <v>0</v>
      </c>
      <c r="K176">
        <f t="shared" si="10"/>
        <v>46.004551404999994</v>
      </c>
      <c r="L176">
        <f t="shared" si="11"/>
        <v>-123.080974125</v>
      </c>
    </row>
    <row r="177" spans="9:12" x14ac:dyDescent="0.2">
      <c r="I177">
        <v>13</v>
      </c>
      <c r="J177">
        <v>1</v>
      </c>
      <c r="K177">
        <f t="shared" si="10"/>
        <v>46.004189529999991</v>
      </c>
      <c r="L177">
        <f t="shared" si="11"/>
        <v>-123.08122999</v>
      </c>
    </row>
    <row r="178" spans="9:12" x14ac:dyDescent="0.2">
      <c r="I178">
        <v>13</v>
      </c>
      <c r="J178">
        <v>2</v>
      </c>
      <c r="K178">
        <f t="shared" si="10"/>
        <v>46.003827654999995</v>
      </c>
      <c r="L178">
        <f t="shared" si="11"/>
        <v>-123.081485855</v>
      </c>
    </row>
    <row r="179" spans="9:12" x14ac:dyDescent="0.2">
      <c r="I179">
        <v>13</v>
      </c>
      <c r="J179">
        <v>3</v>
      </c>
      <c r="K179">
        <f t="shared" si="10"/>
        <v>46.003465779999992</v>
      </c>
      <c r="L179">
        <f t="shared" si="11"/>
        <v>-123.08174172</v>
      </c>
    </row>
    <row r="180" spans="9:12" x14ac:dyDescent="0.2">
      <c r="I180">
        <v>13</v>
      </c>
      <c r="J180">
        <v>4</v>
      </c>
      <c r="K180">
        <f t="shared" si="10"/>
        <v>46.003103904999996</v>
      </c>
      <c r="L180">
        <f t="shared" si="11"/>
        <v>-123.081997585</v>
      </c>
    </row>
    <row r="181" spans="9:12" x14ac:dyDescent="0.2">
      <c r="I181">
        <v>13</v>
      </c>
      <c r="J181">
        <v>5</v>
      </c>
      <c r="K181">
        <f t="shared" si="10"/>
        <v>46.002742029999993</v>
      </c>
      <c r="L181">
        <f t="shared" si="11"/>
        <v>-123.08225345</v>
      </c>
    </row>
    <row r="182" spans="9:12" x14ac:dyDescent="0.2">
      <c r="I182">
        <v>13</v>
      </c>
      <c r="J182">
        <v>6</v>
      </c>
      <c r="K182">
        <f t="shared" si="10"/>
        <v>46.00238015499999</v>
      </c>
      <c r="L182">
        <f t="shared" si="11"/>
        <v>-123.082509315</v>
      </c>
    </row>
    <row r="183" spans="9:12" x14ac:dyDescent="0.2">
      <c r="I183">
        <v>13</v>
      </c>
      <c r="J183">
        <v>7</v>
      </c>
      <c r="K183">
        <f t="shared" si="10"/>
        <v>46.002018279999994</v>
      </c>
      <c r="L183">
        <f t="shared" si="11"/>
        <v>-123.08276518</v>
      </c>
    </row>
    <row r="184" spans="9:12" x14ac:dyDescent="0.2">
      <c r="I184">
        <v>13</v>
      </c>
      <c r="J184">
        <v>8</v>
      </c>
      <c r="K184">
        <f t="shared" si="10"/>
        <v>46.001656404999991</v>
      </c>
      <c r="L184">
        <f t="shared" si="11"/>
        <v>-123.083021045</v>
      </c>
    </row>
    <row r="185" spans="9:12" x14ac:dyDescent="0.2">
      <c r="I185">
        <v>13</v>
      </c>
      <c r="J185">
        <v>9</v>
      </c>
      <c r="K185">
        <f t="shared" si="10"/>
        <v>46.001294529999996</v>
      </c>
      <c r="L185">
        <f t="shared" si="11"/>
        <v>-123.08327691</v>
      </c>
    </row>
    <row r="186" spans="9:12" x14ac:dyDescent="0.2">
      <c r="I186">
        <v>13</v>
      </c>
      <c r="J186">
        <v>10</v>
      </c>
      <c r="K186">
        <f t="shared" si="10"/>
        <v>46.000932654999993</v>
      </c>
      <c r="L186">
        <f t="shared" si="11"/>
        <v>-123.08353277499999</v>
      </c>
    </row>
    <row r="187" spans="9:12" x14ac:dyDescent="0.2">
      <c r="I187">
        <v>13</v>
      </c>
      <c r="J187">
        <v>11</v>
      </c>
      <c r="K187">
        <f t="shared" si="10"/>
        <v>46.000570779999997</v>
      </c>
      <c r="L187">
        <f t="shared" si="11"/>
        <v>-123.08378863999999</v>
      </c>
    </row>
    <row r="188" spans="9:12" x14ac:dyDescent="0.2">
      <c r="I188">
        <v>13</v>
      </c>
      <c r="J188">
        <v>12</v>
      </c>
      <c r="K188">
        <f t="shared" si="10"/>
        <v>46.000208904999994</v>
      </c>
      <c r="L188">
        <f t="shared" si="11"/>
        <v>-123.08404450499999</v>
      </c>
    </row>
    <row r="189" spans="9:12" x14ac:dyDescent="0.2">
      <c r="I189">
        <v>10</v>
      </c>
      <c r="J189">
        <v>0</v>
      </c>
      <c r="K189">
        <f t="shared" si="10"/>
        <v>46.003783809999995</v>
      </c>
      <c r="L189">
        <f t="shared" si="11"/>
        <v>-123.0798885</v>
      </c>
    </row>
    <row r="190" spans="9:12" x14ac:dyDescent="0.2">
      <c r="I190">
        <v>10</v>
      </c>
      <c r="J190">
        <v>12</v>
      </c>
      <c r="K190">
        <f t="shared" si="10"/>
        <v>45.999441309999995</v>
      </c>
      <c r="L190">
        <f t="shared" si="11"/>
        <v>-123.08295887999999</v>
      </c>
    </row>
    <row r="191" spans="9:12" x14ac:dyDescent="0.2">
      <c r="I191">
        <v>0</v>
      </c>
      <c r="J191">
        <v>5</v>
      </c>
      <c r="K191">
        <f t="shared" si="10"/>
        <v>45.999415784999997</v>
      </c>
      <c r="L191">
        <f t="shared" si="11"/>
        <v>-123.07754907499999</v>
      </c>
    </row>
    <row r="192" spans="9:12" x14ac:dyDescent="0.2">
      <c r="I192">
        <v>13</v>
      </c>
      <c r="J192">
        <v>5</v>
      </c>
      <c r="K192">
        <f t="shared" si="10"/>
        <v>46.002742029999993</v>
      </c>
      <c r="L192">
        <f t="shared" si="11"/>
        <v>-123.08225345</v>
      </c>
    </row>
    <row r="193" spans="1:12" x14ac:dyDescent="0.2">
      <c r="A193" t="s">
        <v>369</v>
      </c>
      <c r="K193">
        <v>46.001249999999999</v>
      </c>
      <c r="L193">
        <v>-123.0771</v>
      </c>
    </row>
    <row r="194" spans="1:12" x14ac:dyDescent="0.2">
      <c r="A194" t="s">
        <v>372</v>
      </c>
      <c r="K194">
        <v>46.001269999999998</v>
      </c>
      <c r="L194">
        <v>-123.07693999999999</v>
      </c>
    </row>
    <row r="195" spans="1:12" x14ac:dyDescent="0.2">
      <c r="A195" t="s">
        <v>381</v>
      </c>
      <c r="K195">
        <v>46.001489999999997</v>
      </c>
      <c r="L195">
        <v>-123.07713</v>
      </c>
    </row>
    <row r="196" spans="1:12" x14ac:dyDescent="0.2">
      <c r="A196" t="s">
        <v>378</v>
      </c>
      <c r="K196">
        <v>46.00132</v>
      </c>
      <c r="L196">
        <v>-123.07729</v>
      </c>
    </row>
    <row r="197" spans="1:12" x14ac:dyDescent="0.2">
      <c r="A197" t="s">
        <v>388</v>
      </c>
      <c r="K197">
        <v>46.001559999999998</v>
      </c>
      <c r="L197">
        <v>-123.07764</v>
      </c>
    </row>
    <row r="198" spans="1:12" x14ac:dyDescent="0.2">
      <c r="A198" t="s">
        <v>560</v>
      </c>
      <c r="K198">
        <v>46.001860000000001</v>
      </c>
      <c r="L198">
        <v>-123.08271000000001</v>
      </c>
    </row>
    <row r="199" spans="1:12" x14ac:dyDescent="0.2">
      <c r="A199" t="s">
        <v>561</v>
      </c>
      <c r="K199">
        <v>46.001950000000001</v>
      </c>
      <c r="L199">
        <v>-123.08257</v>
      </c>
    </row>
    <row r="200" spans="1:12" x14ac:dyDescent="0.2">
      <c r="A200" t="s">
        <v>562</v>
      </c>
      <c r="K200">
        <v>46.002139999999997</v>
      </c>
      <c r="L200">
        <v>-123.08273</v>
      </c>
    </row>
    <row r="201" spans="1:12" x14ac:dyDescent="0.2">
      <c r="A201" t="s">
        <v>563</v>
      </c>
      <c r="K201">
        <v>46.002319999999997</v>
      </c>
      <c r="L201">
        <v>-123.08311999999999</v>
      </c>
    </row>
    <row r="202" spans="1:12" x14ac:dyDescent="0.2">
      <c r="A202" t="s">
        <v>564</v>
      </c>
      <c r="K202">
        <v>46.002429999999997</v>
      </c>
      <c r="L202">
        <v>-123.08322</v>
      </c>
    </row>
    <row r="203" spans="1:12" x14ac:dyDescent="0.2">
      <c r="A203" t="s">
        <v>565</v>
      </c>
      <c r="K203">
        <v>46.00271</v>
      </c>
      <c r="L203">
        <v>-123.08082</v>
      </c>
    </row>
    <row r="204" spans="1:12" x14ac:dyDescent="0.2">
      <c r="A204" t="s">
        <v>566</v>
      </c>
      <c r="K204">
        <v>46.002560000000003</v>
      </c>
      <c r="L204">
        <v>-123.08102</v>
      </c>
    </row>
    <row r="205" spans="1:12" x14ac:dyDescent="0.2">
      <c r="A205" t="s">
        <v>567</v>
      </c>
      <c r="K205">
        <v>46.002569999999999</v>
      </c>
      <c r="L205">
        <v>-123.08135</v>
      </c>
    </row>
    <row r="206" spans="1:12" x14ac:dyDescent="0.2">
      <c r="A206" t="s">
        <v>568</v>
      </c>
      <c r="K206">
        <v>46.002549999999999</v>
      </c>
      <c r="L206">
        <v>-123.08154</v>
      </c>
    </row>
    <row r="207" spans="1:12" x14ac:dyDescent="0.2">
      <c r="A207" t="s">
        <v>569</v>
      </c>
      <c r="K207">
        <v>46.002800000000001</v>
      </c>
      <c r="L207">
        <v>-123.08095</v>
      </c>
    </row>
    <row r="208" spans="1:12" x14ac:dyDescent="0.2">
      <c r="A208" t="s">
        <v>570</v>
      </c>
      <c r="K208">
        <v>46.002809999999997</v>
      </c>
      <c r="L208">
        <v>-123.08234</v>
      </c>
    </row>
    <row r="209" spans="1:12" x14ac:dyDescent="0.2">
      <c r="A209" t="s">
        <v>571</v>
      </c>
      <c r="K209">
        <v>46.002879999999998</v>
      </c>
      <c r="L209">
        <v>-123.08253999999999</v>
      </c>
    </row>
    <row r="210" spans="1:12" x14ac:dyDescent="0.2">
      <c r="A210" t="s">
        <v>572</v>
      </c>
      <c r="K210">
        <v>46.003050000000002</v>
      </c>
      <c r="L210">
        <v>-123.08275999999999</v>
      </c>
    </row>
    <row r="211" spans="1:12" x14ac:dyDescent="0.2">
      <c r="A211" t="s">
        <v>573</v>
      </c>
      <c r="K211">
        <v>46.003039999999999</v>
      </c>
      <c r="L211">
        <v>-123.08291</v>
      </c>
    </row>
    <row r="212" spans="1:12" x14ac:dyDescent="0.2">
      <c r="A212" t="s">
        <v>574</v>
      </c>
      <c r="K212">
        <v>46.003050000000002</v>
      </c>
      <c r="L212">
        <v>-123.08262000000001</v>
      </c>
    </row>
    <row r="213" spans="1:12" x14ac:dyDescent="0.2">
      <c r="A213" t="s">
        <v>575</v>
      </c>
      <c r="K213">
        <v>46.001989999999999</v>
      </c>
      <c r="L213">
        <v>-123.08076</v>
      </c>
    </row>
    <row r="214" spans="1:12" x14ac:dyDescent="0.2">
      <c r="A214" t="s">
        <v>576</v>
      </c>
      <c r="K214">
        <v>46.002009999999999</v>
      </c>
      <c r="L214">
        <v>-123.08047000000001</v>
      </c>
    </row>
    <row r="215" spans="1:12" x14ac:dyDescent="0.2">
      <c r="A215" t="s">
        <v>577</v>
      </c>
      <c r="K215">
        <v>46.002130000000001</v>
      </c>
      <c r="L215">
        <v>-123.08087</v>
      </c>
    </row>
    <row r="216" spans="1:12" x14ac:dyDescent="0.2">
      <c r="A216" t="s">
        <v>578</v>
      </c>
      <c r="K216">
        <v>46.002189999999999</v>
      </c>
      <c r="L216">
        <v>-123.08071</v>
      </c>
    </row>
    <row r="217" spans="1:12" x14ac:dyDescent="0.2">
      <c r="A217" t="s">
        <v>579</v>
      </c>
      <c r="K217">
        <v>46.002369999999999</v>
      </c>
      <c r="L217">
        <v>-123.08067</v>
      </c>
    </row>
    <row r="218" spans="1:12" x14ac:dyDescent="0.2">
      <c r="A218" t="s">
        <v>580</v>
      </c>
      <c r="K218">
        <v>46.001370000000001</v>
      </c>
      <c r="L218">
        <v>-123.07823999999999</v>
      </c>
    </row>
    <row r="219" spans="1:12" x14ac:dyDescent="0.2">
      <c r="A219" t="s">
        <v>581</v>
      </c>
      <c r="K219">
        <v>46.001460000000002</v>
      </c>
      <c r="L219">
        <v>-123.07814</v>
      </c>
    </row>
    <row r="220" spans="1:12" x14ac:dyDescent="0.2">
      <c r="A220" t="s">
        <v>582</v>
      </c>
      <c r="K220">
        <v>46.001440000000002</v>
      </c>
      <c r="L220">
        <v>-123.07826</v>
      </c>
    </row>
    <row r="221" spans="1:12" x14ac:dyDescent="0.2">
      <c r="A221" t="s">
        <v>583</v>
      </c>
      <c r="K221">
        <v>46.001579999999997</v>
      </c>
      <c r="L221">
        <v>-123.07832000000001</v>
      </c>
    </row>
    <row r="222" spans="1:12" x14ac:dyDescent="0.2">
      <c r="A222" t="s">
        <v>584</v>
      </c>
      <c r="K222">
        <v>46.001800000000003</v>
      </c>
      <c r="L222">
        <v>-123.07854</v>
      </c>
    </row>
    <row r="223" spans="1:12" x14ac:dyDescent="0.2">
      <c r="A223" t="s">
        <v>585</v>
      </c>
      <c r="K223">
        <v>45.999769999999998</v>
      </c>
      <c r="L223">
        <v>-123.08132000000001</v>
      </c>
    </row>
    <row r="224" spans="1:12" x14ac:dyDescent="0.2">
      <c r="A224" t="s">
        <v>418</v>
      </c>
      <c r="K224">
        <v>45.999830000000003</v>
      </c>
      <c r="L224">
        <v>-123.08107</v>
      </c>
    </row>
    <row r="225" spans="1:12" x14ac:dyDescent="0.2">
      <c r="A225" t="s">
        <v>586</v>
      </c>
      <c r="K225">
        <v>45.999960000000002</v>
      </c>
      <c r="L225">
        <v>-123.08145</v>
      </c>
    </row>
    <row r="226" spans="1:12" x14ac:dyDescent="0.2">
      <c r="A226" t="s">
        <v>122</v>
      </c>
      <c r="K226">
        <v>46.000309999999999</v>
      </c>
      <c r="L226">
        <v>-123.0818</v>
      </c>
    </row>
    <row r="227" spans="1:12" x14ac:dyDescent="0.2">
      <c r="A227" t="s">
        <v>420</v>
      </c>
      <c r="K227">
        <v>46.000540000000001</v>
      </c>
      <c r="L227">
        <v>-123.08188</v>
      </c>
    </row>
    <row r="228" spans="1:12" x14ac:dyDescent="0.2">
      <c r="A228" t="s">
        <v>587</v>
      </c>
      <c r="K228">
        <v>46.001170000000002</v>
      </c>
      <c r="L228">
        <v>-123.08206</v>
      </c>
    </row>
    <row r="229" spans="1:12" x14ac:dyDescent="0.2">
      <c r="A229" t="s">
        <v>588</v>
      </c>
      <c r="K229">
        <v>46.001330000000003</v>
      </c>
      <c r="L229">
        <v>-123.08224</v>
      </c>
    </row>
    <row r="230" spans="1:12" x14ac:dyDescent="0.2">
      <c r="A230" t="s">
        <v>589</v>
      </c>
      <c r="K230">
        <v>46.001399999999997</v>
      </c>
      <c r="L230">
        <v>-123.08177999999999</v>
      </c>
    </row>
    <row r="231" spans="1:12" x14ac:dyDescent="0.2">
      <c r="A231" t="s">
        <v>238</v>
      </c>
      <c r="K231">
        <v>46.001539999999999</v>
      </c>
      <c r="L231">
        <v>-123.08190999999999</v>
      </c>
    </row>
    <row r="232" spans="1:12" x14ac:dyDescent="0.2">
      <c r="A232" t="s">
        <v>590</v>
      </c>
      <c r="K232">
        <v>46.001759999999997</v>
      </c>
      <c r="L232">
        <v>-123.08237</v>
      </c>
    </row>
    <row r="233" spans="1:12" x14ac:dyDescent="0.2">
      <c r="A233" t="s">
        <v>591</v>
      </c>
      <c r="K233">
        <v>46.00217</v>
      </c>
      <c r="L233">
        <v>-123.07917</v>
      </c>
    </row>
    <row r="234" spans="1:12" x14ac:dyDescent="0.2">
      <c r="A234" t="s">
        <v>592</v>
      </c>
      <c r="K234">
        <v>46.00206</v>
      </c>
      <c r="L234">
        <v>-123.07925</v>
      </c>
    </row>
    <row r="235" spans="1:12" x14ac:dyDescent="0.2">
      <c r="A235" t="s">
        <v>593</v>
      </c>
      <c r="K235">
        <v>46.001980000000003</v>
      </c>
      <c r="L235">
        <v>-123.07955</v>
      </c>
    </row>
    <row r="236" spans="1:12" x14ac:dyDescent="0.2">
      <c r="A236" t="s">
        <v>594</v>
      </c>
      <c r="K236">
        <v>46.002079999999999</v>
      </c>
      <c r="L236">
        <v>-123.07969</v>
      </c>
    </row>
    <row r="237" spans="1:12" x14ac:dyDescent="0.2">
      <c r="A237" t="s">
        <v>595</v>
      </c>
      <c r="K237">
        <v>46.002220000000001</v>
      </c>
      <c r="L237">
        <v>-123.0796</v>
      </c>
    </row>
    <row r="238" spans="1:12" x14ac:dyDescent="0.2">
      <c r="A238" t="s">
        <v>596</v>
      </c>
      <c r="K238">
        <v>46.003270000000001</v>
      </c>
      <c r="L238">
        <v>-123.08098</v>
      </c>
    </row>
    <row r="239" spans="1:12" x14ac:dyDescent="0.2">
      <c r="A239" t="s">
        <v>597</v>
      </c>
      <c r="K239">
        <v>46.003369999999997</v>
      </c>
      <c r="L239">
        <v>-123.08089</v>
      </c>
    </row>
    <row r="240" spans="1:12" x14ac:dyDescent="0.2">
      <c r="A240" t="s">
        <v>598</v>
      </c>
      <c r="K240">
        <v>46.003700000000002</v>
      </c>
      <c r="L240">
        <v>-123.08074000000001</v>
      </c>
    </row>
    <row r="241" spans="1:12" x14ac:dyDescent="0.2">
      <c r="A241" t="s">
        <v>599</v>
      </c>
      <c r="K241">
        <v>46.003799999999998</v>
      </c>
      <c r="L241">
        <v>-123.0809</v>
      </c>
    </row>
    <row r="242" spans="1:12" x14ac:dyDescent="0.2">
      <c r="A242" t="s">
        <v>600</v>
      </c>
      <c r="K242">
        <v>46.003839999999997</v>
      </c>
      <c r="L242">
        <v>-123.08107</v>
      </c>
    </row>
    <row r="243" spans="1:12" x14ac:dyDescent="0.2">
      <c r="A243" t="s">
        <v>385</v>
      </c>
      <c r="K243">
        <v>46.00159</v>
      </c>
      <c r="L243">
        <v>-123.07723</v>
      </c>
    </row>
    <row r="244" spans="1:12" x14ac:dyDescent="0.2">
      <c r="A244" t="s">
        <v>387</v>
      </c>
      <c r="K244">
        <v>46.00179</v>
      </c>
      <c r="L244">
        <v>-123.07737</v>
      </c>
    </row>
    <row r="245" spans="1:12" x14ac:dyDescent="0.2">
      <c r="A245" t="s">
        <v>414</v>
      </c>
      <c r="K245">
        <v>46.001849999999997</v>
      </c>
      <c r="L245">
        <v>-123.07818</v>
      </c>
    </row>
    <row r="246" spans="1:12" x14ac:dyDescent="0.2">
      <c r="A246" t="s">
        <v>390</v>
      </c>
      <c r="K246">
        <v>46.001989999999999</v>
      </c>
      <c r="L246">
        <v>-123.07792999999999</v>
      </c>
    </row>
    <row r="247" spans="1:12" x14ac:dyDescent="0.2">
      <c r="A247" t="s">
        <v>415</v>
      </c>
      <c r="K247">
        <v>46.00206</v>
      </c>
      <c r="L247">
        <v>-123.07805</v>
      </c>
    </row>
    <row r="248" spans="1:12" x14ac:dyDescent="0.2">
      <c r="A248" t="s">
        <v>601</v>
      </c>
      <c r="K248">
        <v>46.001829999999998</v>
      </c>
      <c r="L248">
        <v>-123.08172999999999</v>
      </c>
    </row>
    <row r="249" spans="1:12" x14ac:dyDescent="0.2">
      <c r="A249" t="s">
        <v>602</v>
      </c>
      <c r="K249">
        <v>46.001840000000001</v>
      </c>
      <c r="L249">
        <v>-123.08189</v>
      </c>
    </row>
    <row r="250" spans="1:12" x14ac:dyDescent="0.2">
      <c r="A250" t="s">
        <v>603</v>
      </c>
      <c r="K250">
        <v>46.001759999999997</v>
      </c>
      <c r="L250">
        <v>-123.08189</v>
      </c>
    </row>
    <row r="251" spans="1:12" x14ac:dyDescent="0.2">
      <c r="A251" t="s">
        <v>604</v>
      </c>
      <c r="K251">
        <v>46.001910000000002</v>
      </c>
      <c r="L251">
        <v>-123.08224</v>
      </c>
    </row>
    <row r="252" spans="1:12" x14ac:dyDescent="0.2">
      <c r="A252" t="s">
        <v>605</v>
      </c>
      <c r="K252">
        <v>46.00206</v>
      </c>
      <c r="L252">
        <v>-123.08195000000001</v>
      </c>
    </row>
    <row r="253" spans="1:12" x14ac:dyDescent="0.2">
      <c r="A253" t="s">
        <v>606</v>
      </c>
      <c r="K253">
        <v>46.00217</v>
      </c>
      <c r="L253">
        <v>-123.08217</v>
      </c>
    </row>
    <row r="254" spans="1:12" x14ac:dyDescent="0.2">
      <c r="A254" t="s">
        <v>607</v>
      </c>
      <c r="K254">
        <v>46.002220000000001</v>
      </c>
      <c r="L254">
        <v>-123.08239</v>
      </c>
    </row>
    <row r="255" spans="1:12" x14ac:dyDescent="0.2">
      <c r="A255" t="s">
        <v>608</v>
      </c>
      <c r="K255">
        <v>46.002279999999999</v>
      </c>
      <c r="L255">
        <v>-123.08226999999999</v>
      </c>
    </row>
    <row r="256" spans="1:12" x14ac:dyDescent="0.2">
      <c r="A256" t="s">
        <v>609</v>
      </c>
      <c r="K256">
        <v>46.002310000000001</v>
      </c>
      <c r="L256">
        <v>-123.08188</v>
      </c>
    </row>
    <row r="257" spans="1:12" x14ac:dyDescent="0.2">
      <c r="A257" t="s">
        <v>610</v>
      </c>
      <c r="K257">
        <v>46.002479999999998</v>
      </c>
      <c r="L257">
        <v>-123.08199</v>
      </c>
    </row>
    <row r="258" spans="1:12" x14ac:dyDescent="0.2">
      <c r="A258" t="s">
        <v>611</v>
      </c>
      <c r="K258">
        <v>46.001370000000001</v>
      </c>
      <c r="L258">
        <v>-123.08063</v>
      </c>
    </row>
    <row r="259" spans="1:12" x14ac:dyDescent="0.2">
      <c r="A259" t="s">
        <v>612</v>
      </c>
      <c r="K259">
        <v>46.001489999999997</v>
      </c>
      <c r="L259">
        <v>-123.08069999999999</v>
      </c>
    </row>
    <row r="260" spans="1:12" x14ac:dyDescent="0.2">
      <c r="A260" t="s">
        <v>613</v>
      </c>
      <c r="K260">
        <v>46.00159</v>
      </c>
      <c r="L260">
        <v>-123.0806</v>
      </c>
    </row>
    <row r="261" spans="1:12" x14ac:dyDescent="0.2">
      <c r="A261" t="s">
        <v>614</v>
      </c>
      <c r="K261">
        <v>46.001649999999998</v>
      </c>
      <c r="L261">
        <v>-123.08099</v>
      </c>
    </row>
    <row r="262" spans="1:12" x14ac:dyDescent="0.2">
      <c r="A262" t="s">
        <v>615</v>
      </c>
      <c r="K262">
        <v>46.001640000000002</v>
      </c>
      <c r="L262">
        <v>-123.08069999999999</v>
      </c>
    </row>
    <row r="263" spans="1:12" x14ac:dyDescent="0.2">
      <c r="A263" t="s">
        <v>616</v>
      </c>
      <c r="K263">
        <v>46.003430000000002</v>
      </c>
      <c r="L263">
        <v>-123.08131</v>
      </c>
    </row>
    <row r="264" spans="1:12" x14ac:dyDescent="0.2">
      <c r="A264" t="s">
        <v>617</v>
      </c>
      <c r="K264">
        <v>46.003540000000001</v>
      </c>
      <c r="L264">
        <v>-123.08111</v>
      </c>
    </row>
    <row r="265" spans="1:12" x14ac:dyDescent="0.2">
      <c r="A265" t="s">
        <v>618</v>
      </c>
      <c r="K265">
        <v>46.003570000000003</v>
      </c>
      <c r="L265">
        <v>-123.08123999999999</v>
      </c>
    </row>
    <row r="266" spans="1:12" x14ac:dyDescent="0.2">
      <c r="A266" t="s">
        <v>619</v>
      </c>
      <c r="K266">
        <v>46.00365</v>
      </c>
      <c r="L266">
        <v>-123.08146000000001</v>
      </c>
    </row>
    <row r="267" spans="1:12" x14ac:dyDescent="0.2">
      <c r="A267" t="s">
        <v>620</v>
      </c>
      <c r="K267">
        <v>46.003680000000003</v>
      </c>
      <c r="L267">
        <v>-123.08132000000001</v>
      </c>
    </row>
    <row r="268" spans="1:12" x14ac:dyDescent="0.2">
      <c r="A268" t="s">
        <v>621</v>
      </c>
      <c r="K268">
        <v>46.000889999999998</v>
      </c>
      <c r="L268">
        <v>-123.07722</v>
      </c>
    </row>
    <row r="269" spans="1:12" x14ac:dyDescent="0.2">
      <c r="A269" t="s">
        <v>622</v>
      </c>
      <c r="K269">
        <v>46.000950000000003</v>
      </c>
      <c r="L269">
        <v>-123.07745</v>
      </c>
    </row>
    <row r="270" spans="1:12" x14ac:dyDescent="0.2">
      <c r="A270" t="s">
        <v>623</v>
      </c>
      <c r="K270">
        <v>46.001060000000003</v>
      </c>
      <c r="L270">
        <v>-123.0774</v>
      </c>
    </row>
    <row r="271" spans="1:12" x14ac:dyDescent="0.2">
      <c r="A271" t="s">
        <v>624</v>
      </c>
      <c r="K271">
        <v>46.001089999999998</v>
      </c>
      <c r="L271">
        <v>-123.07769999999999</v>
      </c>
    </row>
    <row r="272" spans="1:12" x14ac:dyDescent="0.2">
      <c r="A272" t="s">
        <v>625</v>
      </c>
      <c r="K272">
        <v>46.00121</v>
      </c>
      <c r="L272">
        <v>-123.07792999999999</v>
      </c>
    </row>
    <row r="273" spans="1:12" x14ac:dyDescent="0.2">
      <c r="A273" t="s">
        <v>626</v>
      </c>
      <c r="K273">
        <v>46.002890000000001</v>
      </c>
      <c r="L273">
        <v>-123.08033</v>
      </c>
    </row>
    <row r="274" spans="1:12" x14ac:dyDescent="0.2">
      <c r="A274" t="s">
        <v>627</v>
      </c>
      <c r="K274">
        <v>46.003070000000001</v>
      </c>
      <c r="L274">
        <v>-123.08011999999999</v>
      </c>
    </row>
    <row r="275" spans="1:12" x14ac:dyDescent="0.2">
      <c r="A275" t="s">
        <v>628</v>
      </c>
      <c r="K275">
        <v>46.003010000000003</v>
      </c>
      <c r="L275">
        <v>-123.08054</v>
      </c>
    </row>
    <row r="276" spans="1:12" x14ac:dyDescent="0.2">
      <c r="A276" t="s">
        <v>629</v>
      </c>
      <c r="K276">
        <v>46.003120000000003</v>
      </c>
      <c r="L276">
        <v>-123.08038000000001</v>
      </c>
    </row>
    <row r="277" spans="1:12" x14ac:dyDescent="0.2">
      <c r="A277" t="s">
        <v>630</v>
      </c>
      <c r="K277">
        <v>46.003279999999997</v>
      </c>
      <c r="L277">
        <v>-123.08020999999999</v>
      </c>
    </row>
    <row r="278" spans="1:12" x14ac:dyDescent="0.2">
      <c r="A278" t="s">
        <v>631</v>
      </c>
      <c r="K278">
        <v>46.000720000000001</v>
      </c>
      <c r="L278">
        <v>-123.08165</v>
      </c>
    </row>
    <row r="279" spans="1:12" x14ac:dyDescent="0.2">
      <c r="A279" t="s">
        <v>632</v>
      </c>
      <c r="K279">
        <v>46.000999999999998</v>
      </c>
      <c r="L279">
        <v>-123.08153</v>
      </c>
    </row>
    <row r="280" spans="1:12" x14ac:dyDescent="0.2">
      <c r="A280" t="s">
        <v>633</v>
      </c>
      <c r="K280">
        <v>46.00112</v>
      </c>
      <c r="L280">
        <v>-123.0814</v>
      </c>
    </row>
    <row r="281" spans="1:12" x14ac:dyDescent="0.2">
      <c r="A281" t="s">
        <v>634</v>
      </c>
      <c r="K281">
        <v>46.000990000000002</v>
      </c>
      <c r="L281">
        <v>-123.08177000000001</v>
      </c>
    </row>
    <row r="282" spans="1:12" x14ac:dyDescent="0.2">
      <c r="A282" t="s">
        <v>635</v>
      </c>
      <c r="K282">
        <v>46.001109999999997</v>
      </c>
      <c r="L282">
        <v>-123.08165</v>
      </c>
    </row>
    <row r="283" spans="1:12" x14ac:dyDescent="0.2">
      <c r="A283" t="s">
        <v>636</v>
      </c>
      <c r="K283">
        <v>46.00132</v>
      </c>
      <c r="L283">
        <v>-123.08094</v>
      </c>
    </row>
    <row r="284" spans="1:12" x14ac:dyDescent="0.2">
      <c r="A284" t="s">
        <v>637</v>
      </c>
      <c r="K284">
        <v>46.001469999999998</v>
      </c>
      <c r="L284">
        <v>-123.08143</v>
      </c>
    </row>
    <row r="285" spans="1:12" x14ac:dyDescent="0.2">
      <c r="A285" t="s">
        <v>638</v>
      </c>
      <c r="K285">
        <v>46.001530000000002</v>
      </c>
      <c r="L285">
        <v>-123.0813</v>
      </c>
    </row>
    <row r="286" spans="1:12" x14ac:dyDescent="0.2">
      <c r="A286" t="s">
        <v>639</v>
      </c>
      <c r="K286">
        <v>46.001620000000003</v>
      </c>
      <c r="L286">
        <v>-123.08134</v>
      </c>
    </row>
    <row r="287" spans="1:12" x14ac:dyDescent="0.2">
      <c r="A287" t="s">
        <v>640</v>
      </c>
      <c r="K287">
        <v>46.00159</v>
      </c>
      <c r="L287">
        <v>-123.08161</v>
      </c>
    </row>
    <row r="288" spans="1:12" x14ac:dyDescent="0.2">
      <c r="A288" t="s">
        <v>641</v>
      </c>
      <c r="K288">
        <v>46.002330000000001</v>
      </c>
      <c r="L288">
        <v>-123.08261</v>
      </c>
    </row>
    <row r="289" spans="1:12" x14ac:dyDescent="0.2">
      <c r="A289" t="s">
        <v>642</v>
      </c>
      <c r="K289">
        <v>46.00244</v>
      </c>
      <c r="L289">
        <v>-123.08244999999999</v>
      </c>
    </row>
    <row r="290" spans="1:12" x14ac:dyDescent="0.2">
      <c r="A290" t="s">
        <v>643</v>
      </c>
      <c r="K290">
        <v>46.002470000000002</v>
      </c>
      <c r="L290">
        <v>-123.08268</v>
      </c>
    </row>
    <row r="291" spans="1:12" x14ac:dyDescent="0.2">
      <c r="A291" t="s">
        <v>644</v>
      </c>
      <c r="K291">
        <v>46.002499999999998</v>
      </c>
      <c r="L291">
        <v>-123.08289000000001</v>
      </c>
    </row>
    <row r="292" spans="1:12" x14ac:dyDescent="0.2">
      <c r="A292" t="s">
        <v>645</v>
      </c>
      <c r="K292">
        <v>46.002600000000001</v>
      </c>
      <c r="L292">
        <v>-123.08271999999999</v>
      </c>
    </row>
    <row r="293" spans="1:12" x14ac:dyDescent="0.2">
      <c r="A293" t="s">
        <v>646</v>
      </c>
      <c r="K293">
        <v>46.000799999999998</v>
      </c>
      <c r="L293">
        <v>-123.07787</v>
      </c>
    </row>
    <row r="294" spans="1:12" x14ac:dyDescent="0.2">
      <c r="A294" t="s">
        <v>647</v>
      </c>
      <c r="K294">
        <v>46.000909999999998</v>
      </c>
      <c r="L294">
        <v>-123.07803</v>
      </c>
    </row>
    <row r="295" spans="1:12" x14ac:dyDescent="0.2">
      <c r="A295" t="s">
        <v>648</v>
      </c>
      <c r="K295">
        <v>46.000999999999998</v>
      </c>
      <c r="L295">
        <v>-123.07819000000001</v>
      </c>
    </row>
    <row r="296" spans="1:12" x14ac:dyDescent="0.2">
      <c r="A296" t="s">
        <v>649</v>
      </c>
      <c r="K296">
        <v>46.001370000000001</v>
      </c>
      <c r="L296">
        <v>-123.07863</v>
      </c>
    </row>
    <row r="297" spans="1:12" x14ac:dyDescent="0.2">
      <c r="A297" t="s">
        <v>650</v>
      </c>
      <c r="K297">
        <v>46.001220000000004</v>
      </c>
      <c r="L297">
        <v>-123.07884</v>
      </c>
    </row>
    <row r="298" spans="1:12" x14ac:dyDescent="0.2">
      <c r="A298" t="s">
        <v>651</v>
      </c>
      <c r="K298">
        <v>46.001939999999998</v>
      </c>
      <c r="L298">
        <v>-123.08112</v>
      </c>
    </row>
    <row r="299" spans="1:12" x14ac:dyDescent="0.2">
      <c r="A299" t="s">
        <v>652</v>
      </c>
      <c r="K299">
        <v>46.001919999999998</v>
      </c>
      <c r="L299">
        <v>-123.08128000000001</v>
      </c>
    </row>
    <row r="300" spans="1:12" x14ac:dyDescent="0.2">
      <c r="A300" t="s">
        <v>653</v>
      </c>
      <c r="K300">
        <v>46.002000000000002</v>
      </c>
      <c r="L300">
        <v>-123.08145</v>
      </c>
    </row>
    <row r="301" spans="1:12" x14ac:dyDescent="0.2">
      <c r="A301" t="s">
        <v>654</v>
      </c>
      <c r="K301">
        <v>46.001989999999999</v>
      </c>
      <c r="L301">
        <v>-123.08156</v>
      </c>
    </row>
    <row r="302" spans="1:12" x14ac:dyDescent="0.2">
      <c r="A302" t="s">
        <v>655</v>
      </c>
      <c r="K302">
        <v>46.002090000000003</v>
      </c>
      <c r="L302">
        <v>-123.08167</v>
      </c>
    </row>
    <row r="303" spans="1:12" x14ac:dyDescent="0.2">
      <c r="A303" t="s">
        <v>656</v>
      </c>
      <c r="K303">
        <v>46.001330000000003</v>
      </c>
      <c r="L303">
        <v>-123.07962999999999</v>
      </c>
    </row>
    <row r="304" spans="1:12" x14ac:dyDescent="0.2">
      <c r="A304" t="s">
        <v>657</v>
      </c>
      <c r="K304">
        <v>46.001609999999999</v>
      </c>
      <c r="L304">
        <v>-123.07937</v>
      </c>
    </row>
    <row r="305" spans="1:12" x14ac:dyDescent="0.2">
      <c r="A305" t="s">
        <v>658</v>
      </c>
      <c r="K305">
        <v>46.00179</v>
      </c>
      <c r="L305">
        <v>-123.07911</v>
      </c>
    </row>
    <row r="306" spans="1:12" x14ac:dyDescent="0.2">
      <c r="A306" t="s">
        <v>659</v>
      </c>
      <c r="K306">
        <v>46.001939999999998</v>
      </c>
      <c r="L306">
        <v>-123.0801</v>
      </c>
    </row>
    <row r="307" spans="1:12" x14ac:dyDescent="0.2">
      <c r="A307" t="s">
        <v>660</v>
      </c>
      <c r="K307">
        <v>46.001809999999999</v>
      </c>
      <c r="L307">
        <v>-123.08042</v>
      </c>
    </row>
    <row r="308" spans="1:12" x14ac:dyDescent="0.2">
      <c r="A308" t="s">
        <v>661</v>
      </c>
      <c r="K308">
        <v>46.00271</v>
      </c>
      <c r="L308">
        <v>-123.08183</v>
      </c>
    </row>
    <row r="309" spans="1:12" x14ac:dyDescent="0.2">
      <c r="A309" t="s">
        <v>662</v>
      </c>
      <c r="K309">
        <v>46.002839999999999</v>
      </c>
      <c r="L309">
        <v>-123.08158</v>
      </c>
    </row>
    <row r="310" spans="1:12" x14ac:dyDescent="0.2">
      <c r="A310" t="s">
        <v>663</v>
      </c>
      <c r="K310">
        <v>46.002929999999999</v>
      </c>
      <c r="L310">
        <v>-123.08172999999999</v>
      </c>
    </row>
    <row r="311" spans="1:12" x14ac:dyDescent="0.2">
      <c r="A311" t="s">
        <v>664</v>
      </c>
      <c r="K311">
        <v>46.003039999999999</v>
      </c>
      <c r="L311">
        <v>-123.08192</v>
      </c>
    </row>
    <row r="312" spans="1:12" x14ac:dyDescent="0.2">
      <c r="A312" t="s">
        <v>665</v>
      </c>
      <c r="K312">
        <v>46.00311</v>
      </c>
      <c r="L312">
        <v>-123.08208</v>
      </c>
    </row>
    <row r="313" spans="1:12" x14ac:dyDescent="0.2">
      <c r="A313" t="s">
        <v>666</v>
      </c>
      <c r="K313">
        <v>46.003010000000003</v>
      </c>
      <c r="L313">
        <v>-123.08114</v>
      </c>
    </row>
    <row r="314" spans="1:12" x14ac:dyDescent="0.2">
      <c r="A314" t="s">
        <v>667</v>
      </c>
      <c r="K314">
        <v>46.003019999999999</v>
      </c>
      <c r="L314">
        <v>-123.08138</v>
      </c>
    </row>
    <row r="315" spans="1:12" x14ac:dyDescent="0.2">
      <c r="A315" t="s">
        <v>668</v>
      </c>
      <c r="K315">
        <v>46.003219999999999</v>
      </c>
      <c r="L315">
        <v>-123.08145</v>
      </c>
    </row>
    <row r="316" spans="1:12" x14ac:dyDescent="0.2">
      <c r="A316" t="s">
        <v>669</v>
      </c>
      <c r="K316">
        <v>46.003369999999997</v>
      </c>
      <c r="L316">
        <v>-123.0817</v>
      </c>
    </row>
    <row r="317" spans="1:12" x14ac:dyDescent="0.2">
      <c r="A317" t="s">
        <v>670</v>
      </c>
      <c r="K317">
        <v>46.003369999999997</v>
      </c>
      <c r="L317">
        <v>-123.08187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Poria_compass_points</vt:lpstr>
      <vt:lpstr>Poria_trees</vt:lpstr>
      <vt:lpstr>Cut_stump_compass_points</vt:lpstr>
      <vt:lpstr>Cut_stump_trees</vt:lpstr>
      <vt:lpstr>Plot_corners</vt:lpstr>
      <vt:lpstr>map_chain</vt:lpstr>
      <vt:lpstr>Lat_long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showalt_d</cp:lastModifiedBy>
  <cp:revision>149</cp:revision>
  <dcterms:created xsi:type="dcterms:W3CDTF">2022-04-05T12:18:40Z</dcterms:created>
  <dcterms:modified xsi:type="dcterms:W3CDTF">2022-04-19T22:47:21Z</dcterms:modified>
  <dc:language>en-US</dc:language>
</cp:coreProperties>
</file>