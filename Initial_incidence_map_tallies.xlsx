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owalt_d\Documents\GitHub\Apiary_LRR\"/>
    </mc:Choice>
  </mc:AlternateContent>
  <xr:revisionPtr revIDLastSave="0" documentId="13_ncr:1_{65AEBBE6-F484-4F32-804F-EED16D2B5859}" xr6:coauthVersionLast="36" xr6:coauthVersionMax="36" xr10:uidLastSave="{00000000-0000-0000-0000-000000000000}"/>
  <bookViews>
    <workbookView xWindow="0" yWindow="0" windowWidth="16380" windowHeight="8190" tabRatio="500" activeTab="1" xr2:uid="{00000000-000D-0000-FFFF-FFFF00000000}"/>
  </bookViews>
  <sheets>
    <sheet name="All_TRT" sheetId="1" r:id="rId1"/>
    <sheet name="ABC" sheetId="2" r:id="rId2"/>
  </sheets>
  <calcPr calcId="191029"/>
  <extLs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S24" i="1" l="1"/>
  <c r="R24" i="1"/>
  <c r="Q24" i="1"/>
  <c r="S19" i="1"/>
  <c r="R19" i="1"/>
  <c r="Q19" i="1"/>
  <c r="S14" i="1"/>
  <c r="R14" i="1"/>
  <c r="Q14" i="1"/>
  <c r="S9" i="1"/>
  <c r="R9" i="1"/>
  <c r="Q9" i="1"/>
  <c r="S4" i="1"/>
  <c r="R4" i="1"/>
  <c r="Q4" i="1"/>
</calcChain>
</file>

<file path=xl/sharedStrings.xml><?xml version="1.0" encoding="utf-8"?>
<sst xmlns="http://schemas.openxmlformats.org/spreadsheetml/2006/main" count="134" uniqueCount="57">
  <si>
    <t>TMT</t>
  </si>
  <si>
    <t>STAND</t>
  </si>
  <si>
    <t>SEVERITY</t>
  </si>
  <si>
    <t>NAME</t>
  </si>
  <si>
    <t>PLOT</t>
  </si>
  <si>
    <t>diamond</t>
  </si>
  <si>
    <t>--</t>
  </si>
  <si>
    <t>|</t>
  </si>
  <si>
    <t>+</t>
  </si>
  <si>
    <t>x</t>
  </si>
  <si>
    <t>?</t>
  </si>
  <si>
    <t>Poria, old stump</t>
  </si>
  <si>
    <t>Poria, dead &gt;10Y</t>
  </si>
  <si>
    <t>Poria, dead &lt;10Y</t>
  </si>
  <si>
    <t>Poria, alive, symptoms</t>
  </si>
  <si>
    <t>Poria, alive, stump detection</t>
  </si>
  <si>
    <t>dead, unknown (ARM)</t>
  </si>
  <si>
    <t>poria sum</t>
  </si>
  <si>
    <t>not old stump</t>
  </si>
  <si>
    <t>&gt;10Y</t>
  </si>
  <si>
    <t>poria rank</t>
  </si>
  <si>
    <t>not old stump rank</t>
  </si>
  <si>
    <t>&gt;10Y rank</t>
  </si>
  <si>
    <t>Stand ave poria rank</t>
  </si>
  <si>
    <t>Stand ave not old stump rank</t>
  </si>
  <si>
    <t>Stand ave &gt;10Y rank</t>
  </si>
  <si>
    <t>A</t>
  </si>
  <si>
    <t>A1</t>
  </si>
  <si>
    <t>B</t>
  </si>
  <si>
    <t>B1</t>
  </si>
  <si>
    <t>C</t>
  </si>
  <si>
    <t>C1</t>
  </si>
  <si>
    <t>D</t>
  </si>
  <si>
    <t>D1</t>
  </si>
  <si>
    <t>E</t>
  </si>
  <si>
    <t>E1</t>
  </si>
  <si>
    <t>A2</t>
  </si>
  <si>
    <t>B2</t>
  </si>
  <si>
    <t>C2</t>
  </si>
  <si>
    <t>D2</t>
  </si>
  <si>
    <t>E2</t>
  </si>
  <si>
    <t>A3</t>
  </si>
  <si>
    <t>B3</t>
  </si>
  <si>
    <t>C3</t>
  </si>
  <si>
    <t>D3</t>
  </si>
  <si>
    <t>E3</t>
  </si>
  <si>
    <t>A4</t>
  </si>
  <si>
    <t>B4</t>
  </si>
  <si>
    <t>C4</t>
  </si>
  <si>
    <t>D4</t>
  </si>
  <si>
    <t>E4</t>
  </si>
  <si>
    <t>A0</t>
  </si>
  <si>
    <t>B0</t>
  </si>
  <si>
    <t>C0</t>
  </si>
  <si>
    <t>D0</t>
  </si>
  <si>
    <t>E0</t>
  </si>
  <si>
    <t>condition 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</si>
</sst>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B2B2B2"/>
        <bgColor rgb="FFB3B3B3"/>
      </patternFill>
    </fill>
    <fill>
      <patternFill patternType="solid">
        <fgColor rgb="FFFF5429"/>
        <bgColor rgb="FFFF8080"/>
      </patternFill>
    </fill>
    <fill>
      <patternFill patternType="solid">
        <fgColor rgb="FFFFFF38"/>
        <bgColor rgb="FFFFFF00"/>
      </patternFill>
    </fill>
    <fill>
      <patternFill patternType="solid">
        <fgColor rgb="FF5983B0"/>
        <bgColor rgb="FF808080"/>
      </patternFill>
    </fill>
    <fill>
      <patternFill patternType="solid">
        <fgColor rgb="FF5EB91E"/>
        <bgColor rgb="FF808000"/>
      </patternFill>
    </fill>
    <fill>
      <patternFill patternType="solid">
        <fgColor rgb="FFFFFFFF"/>
        <bgColor rgb="FFFFFFCC"/>
      </patternFill>
    </fill>
    <fill>
      <patternFill patternType="solid">
        <fgColor rgb="FFFFE994"/>
        <bgColor rgb="FFFFCC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Font="1" applyAlignment="1">
      <alignment horizontal="center" vertical="center"/>
    </xf>
    <xf numFmtId="0" fontId="0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4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7" borderId="0" xfId="0" applyFont="1" applyFill="1" applyAlignment="1">
      <alignment horizontal="center"/>
    </xf>
    <xf numFmtId="0" fontId="0" fillId="0" borderId="0" xfId="0" applyAlignment="1">
      <alignment wrapText="1"/>
    </xf>
    <xf numFmtId="0" fontId="0" fillId="2" borderId="0" xfId="0" applyFont="1" applyFill="1" applyAlignment="1">
      <alignment horizontal="center" wrapText="1"/>
    </xf>
    <xf numFmtId="0" fontId="0" fillId="3" borderId="0" xfId="0" applyFont="1" applyFill="1" applyAlignment="1">
      <alignment horizontal="center" wrapText="1"/>
    </xf>
    <xf numFmtId="0" fontId="0" fillId="4" borderId="0" xfId="0" applyFont="1" applyFill="1" applyAlignment="1">
      <alignment horizontal="center" wrapText="1"/>
    </xf>
    <xf numFmtId="0" fontId="0" fillId="5" borderId="0" xfId="0" applyFont="1" applyFill="1" applyAlignment="1">
      <alignment horizontal="center" wrapText="1"/>
    </xf>
    <xf numFmtId="0" fontId="0" fillId="6" borderId="0" xfId="0" applyFont="1" applyFill="1" applyAlignment="1">
      <alignment horizontal="center" wrapText="1"/>
    </xf>
    <xf numFmtId="0" fontId="0" fillId="7" borderId="0" xfId="0" applyFont="1" applyFill="1" applyAlignment="1">
      <alignment horizontal="center" wrapText="1"/>
    </xf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994"/>
      <rgbColor rgb="FF99CCFF"/>
      <rgbColor rgb="FFFF99CC"/>
      <rgbColor rgb="FFCC99FF"/>
      <rgbColor rgb="FFFFCC99"/>
      <rgbColor rgb="FF3366FF"/>
      <rgbColor rgb="FF33CCCC"/>
      <rgbColor rgb="FF5EB91E"/>
      <rgbColor rgb="FFFFBF00"/>
      <rgbColor rgb="FFFF9900"/>
      <rgbColor rgb="FFFF5429"/>
      <rgbColor rgb="FF5983B0"/>
      <rgbColor rgb="FFB2B2B2"/>
      <rgbColor rgb="FF003366"/>
      <rgbColor rgb="FF00A93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strike="noStrike" spc="-1">
                <a:latin typeface="Arial"/>
              </a:defRPr>
            </a:pPr>
            <a:r>
              <a:rPr lang="en-US" sz="1300" b="0" strike="noStrike" spc="-1">
                <a:latin typeface="Arial"/>
              </a:rPr>
              <a:t>Pre-harvest laminated root rot incidence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All_TRT!$E$3</c:f>
              <c:strCache>
                <c:ptCount val="1"/>
                <c:pt idx="0">
                  <c:v>Poria, old stump</c:v>
                </c:pt>
              </c:strCache>
            </c:strRef>
          </c:tx>
          <c:spPr>
            <a:solidFill>
              <a:srgbClr val="80808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All_TRT!$D$4:$D$28</c:f>
              <c:strCache>
                <c:ptCount val="25"/>
                <c:pt idx="0">
                  <c:v>A1</c:v>
                </c:pt>
                <c:pt idx="1">
                  <c:v>B1</c:v>
                </c:pt>
                <c:pt idx="2">
                  <c:v>C1</c:v>
                </c:pt>
                <c:pt idx="3">
                  <c:v>D1</c:v>
                </c:pt>
                <c:pt idx="4">
                  <c:v>E1</c:v>
                </c:pt>
                <c:pt idx="5">
                  <c:v>A2</c:v>
                </c:pt>
                <c:pt idx="6">
                  <c:v>B2</c:v>
                </c:pt>
                <c:pt idx="7">
                  <c:v>C2</c:v>
                </c:pt>
                <c:pt idx="8">
                  <c:v>D2</c:v>
                </c:pt>
                <c:pt idx="9">
                  <c:v>E2</c:v>
                </c:pt>
                <c:pt idx="10">
                  <c:v>A3</c:v>
                </c:pt>
                <c:pt idx="11">
                  <c:v>B3</c:v>
                </c:pt>
                <c:pt idx="12">
                  <c:v>C3</c:v>
                </c:pt>
                <c:pt idx="13">
                  <c:v>D3</c:v>
                </c:pt>
                <c:pt idx="14">
                  <c:v>E3</c:v>
                </c:pt>
                <c:pt idx="15">
                  <c:v>A4</c:v>
                </c:pt>
                <c:pt idx="16">
                  <c:v>B4</c:v>
                </c:pt>
                <c:pt idx="17">
                  <c:v>C4</c:v>
                </c:pt>
                <c:pt idx="18">
                  <c:v>D4</c:v>
                </c:pt>
                <c:pt idx="19">
                  <c:v>E4</c:v>
                </c:pt>
                <c:pt idx="20">
                  <c:v>A0</c:v>
                </c:pt>
                <c:pt idx="21">
                  <c:v>B0</c:v>
                </c:pt>
                <c:pt idx="22">
                  <c:v>C0</c:v>
                </c:pt>
                <c:pt idx="23">
                  <c:v>D0</c:v>
                </c:pt>
                <c:pt idx="24">
                  <c:v>E0</c:v>
                </c:pt>
              </c:strCache>
            </c:strRef>
          </c:cat>
          <c:val>
            <c:numRef>
              <c:f>All_TRT!$E$4:$E$28</c:f>
              <c:numCache>
                <c:formatCode>General</c:formatCode>
                <c:ptCount val="25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4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3</c:v>
                </c:pt>
                <c:pt idx="16">
                  <c:v>1</c:v>
                </c:pt>
                <c:pt idx="17">
                  <c:v>6</c:v>
                </c:pt>
                <c:pt idx="18">
                  <c:v>2</c:v>
                </c:pt>
                <c:pt idx="19">
                  <c:v>0</c:v>
                </c:pt>
                <c:pt idx="20">
                  <c:v>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D-4D13-AE47-6C27B50997A2}"/>
            </c:ext>
          </c:extLst>
        </c:ser>
        <c:ser>
          <c:idx val="1"/>
          <c:order val="1"/>
          <c:tx>
            <c:strRef>
              <c:f>All_TRT!$F$3</c:f>
              <c:strCache>
                <c:ptCount val="1"/>
                <c:pt idx="0">
                  <c:v>Poria, dead &gt;10Y</c:v>
                </c:pt>
              </c:strCache>
            </c:strRef>
          </c:tx>
          <c:spPr>
            <a:solidFill>
              <a:srgbClr val="FF000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All_TRT!$D$4:$D$28</c:f>
              <c:strCache>
                <c:ptCount val="25"/>
                <c:pt idx="0">
                  <c:v>A1</c:v>
                </c:pt>
                <c:pt idx="1">
                  <c:v>B1</c:v>
                </c:pt>
                <c:pt idx="2">
                  <c:v>C1</c:v>
                </c:pt>
                <c:pt idx="3">
                  <c:v>D1</c:v>
                </c:pt>
                <c:pt idx="4">
                  <c:v>E1</c:v>
                </c:pt>
                <c:pt idx="5">
                  <c:v>A2</c:v>
                </c:pt>
                <c:pt idx="6">
                  <c:v>B2</c:v>
                </c:pt>
                <c:pt idx="7">
                  <c:v>C2</c:v>
                </c:pt>
                <c:pt idx="8">
                  <c:v>D2</c:v>
                </c:pt>
                <c:pt idx="9">
                  <c:v>E2</c:v>
                </c:pt>
                <c:pt idx="10">
                  <c:v>A3</c:v>
                </c:pt>
                <c:pt idx="11">
                  <c:v>B3</c:v>
                </c:pt>
                <c:pt idx="12">
                  <c:v>C3</c:v>
                </c:pt>
                <c:pt idx="13">
                  <c:v>D3</c:v>
                </c:pt>
                <c:pt idx="14">
                  <c:v>E3</c:v>
                </c:pt>
                <c:pt idx="15">
                  <c:v>A4</c:v>
                </c:pt>
                <c:pt idx="16">
                  <c:v>B4</c:v>
                </c:pt>
                <c:pt idx="17">
                  <c:v>C4</c:v>
                </c:pt>
                <c:pt idx="18">
                  <c:v>D4</c:v>
                </c:pt>
                <c:pt idx="19">
                  <c:v>E4</c:v>
                </c:pt>
                <c:pt idx="20">
                  <c:v>A0</c:v>
                </c:pt>
                <c:pt idx="21">
                  <c:v>B0</c:v>
                </c:pt>
                <c:pt idx="22">
                  <c:v>C0</c:v>
                </c:pt>
                <c:pt idx="23">
                  <c:v>D0</c:v>
                </c:pt>
                <c:pt idx="24">
                  <c:v>E0</c:v>
                </c:pt>
              </c:strCache>
            </c:strRef>
          </c:cat>
          <c:val>
            <c:numRef>
              <c:f>All_TRT!$F$4:$F$28</c:f>
              <c:numCache>
                <c:formatCode>General</c:formatCode>
                <c:ptCount val="25"/>
                <c:pt idx="0">
                  <c:v>6</c:v>
                </c:pt>
                <c:pt idx="1">
                  <c:v>4</c:v>
                </c:pt>
                <c:pt idx="2">
                  <c:v>1</c:v>
                </c:pt>
                <c:pt idx="3">
                  <c:v>3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12</c:v>
                </c:pt>
                <c:pt idx="8">
                  <c:v>7</c:v>
                </c:pt>
                <c:pt idx="9">
                  <c:v>7</c:v>
                </c:pt>
                <c:pt idx="10">
                  <c:v>12</c:v>
                </c:pt>
                <c:pt idx="11">
                  <c:v>10</c:v>
                </c:pt>
                <c:pt idx="12">
                  <c:v>12</c:v>
                </c:pt>
                <c:pt idx="13">
                  <c:v>11</c:v>
                </c:pt>
                <c:pt idx="14">
                  <c:v>12</c:v>
                </c:pt>
                <c:pt idx="15">
                  <c:v>10</c:v>
                </c:pt>
                <c:pt idx="16">
                  <c:v>19</c:v>
                </c:pt>
                <c:pt idx="17">
                  <c:v>14</c:v>
                </c:pt>
                <c:pt idx="18">
                  <c:v>42</c:v>
                </c:pt>
                <c:pt idx="19">
                  <c:v>10</c:v>
                </c:pt>
                <c:pt idx="20">
                  <c:v>17</c:v>
                </c:pt>
                <c:pt idx="21">
                  <c:v>19</c:v>
                </c:pt>
                <c:pt idx="22">
                  <c:v>13</c:v>
                </c:pt>
                <c:pt idx="23">
                  <c:v>8</c:v>
                </c:pt>
                <c:pt idx="2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D-4D13-AE47-6C27B50997A2}"/>
            </c:ext>
          </c:extLst>
        </c:ser>
        <c:ser>
          <c:idx val="2"/>
          <c:order val="2"/>
          <c:tx>
            <c:strRef>
              <c:f>All_TRT!$G$3</c:f>
              <c:strCache>
                <c:ptCount val="1"/>
                <c:pt idx="0">
                  <c:v>Poria, dead &lt;10Y</c:v>
                </c:pt>
              </c:strCache>
            </c:strRef>
          </c:tx>
          <c:spPr>
            <a:solidFill>
              <a:srgbClr val="FFBF0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All_TRT!$D$4:$D$28</c:f>
              <c:strCache>
                <c:ptCount val="25"/>
                <c:pt idx="0">
                  <c:v>A1</c:v>
                </c:pt>
                <c:pt idx="1">
                  <c:v>B1</c:v>
                </c:pt>
                <c:pt idx="2">
                  <c:v>C1</c:v>
                </c:pt>
                <c:pt idx="3">
                  <c:v>D1</c:v>
                </c:pt>
                <c:pt idx="4">
                  <c:v>E1</c:v>
                </c:pt>
                <c:pt idx="5">
                  <c:v>A2</c:v>
                </c:pt>
                <c:pt idx="6">
                  <c:v>B2</c:v>
                </c:pt>
                <c:pt idx="7">
                  <c:v>C2</c:v>
                </c:pt>
                <c:pt idx="8">
                  <c:v>D2</c:v>
                </c:pt>
                <c:pt idx="9">
                  <c:v>E2</c:v>
                </c:pt>
                <c:pt idx="10">
                  <c:v>A3</c:v>
                </c:pt>
                <c:pt idx="11">
                  <c:v>B3</c:v>
                </c:pt>
                <c:pt idx="12">
                  <c:v>C3</c:v>
                </c:pt>
                <c:pt idx="13">
                  <c:v>D3</c:v>
                </c:pt>
                <c:pt idx="14">
                  <c:v>E3</c:v>
                </c:pt>
                <c:pt idx="15">
                  <c:v>A4</c:v>
                </c:pt>
                <c:pt idx="16">
                  <c:v>B4</c:v>
                </c:pt>
                <c:pt idx="17">
                  <c:v>C4</c:v>
                </c:pt>
                <c:pt idx="18">
                  <c:v>D4</c:v>
                </c:pt>
                <c:pt idx="19">
                  <c:v>E4</c:v>
                </c:pt>
                <c:pt idx="20">
                  <c:v>A0</c:v>
                </c:pt>
                <c:pt idx="21">
                  <c:v>B0</c:v>
                </c:pt>
                <c:pt idx="22">
                  <c:v>C0</c:v>
                </c:pt>
                <c:pt idx="23">
                  <c:v>D0</c:v>
                </c:pt>
                <c:pt idx="24">
                  <c:v>E0</c:v>
                </c:pt>
              </c:strCache>
            </c:strRef>
          </c:cat>
          <c:val>
            <c:numRef>
              <c:f>All_TRT!$G$4:$G$28</c:f>
              <c:numCache>
                <c:formatCode>General</c:formatCode>
                <c:ptCount val="25"/>
                <c:pt idx="0">
                  <c:v>6</c:v>
                </c:pt>
                <c:pt idx="1">
                  <c:v>0</c:v>
                </c:pt>
                <c:pt idx="2">
                  <c:v>5</c:v>
                </c:pt>
                <c:pt idx="3">
                  <c:v>4</c:v>
                </c:pt>
                <c:pt idx="4">
                  <c:v>4</c:v>
                </c:pt>
                <c:pt idx="5">
                  <c:v>8</c:v>
                </c:pt>
                <c:pt idx="6">
                  <c:v>7</c:v>
                </c:pt>
                <c:pt idx="7">
                  <c:v>9</c:v>
                </c:pt>
                <c:pt idx="8">
                  <c:v>6</c:v>
                </c:pt>
                <c:pt idx="9">
                  <c:v>3</c:v>
                </c:pt>
                <c:pt idx="10">
                  <c:v>9</c:v>
                </c:pt>
                <c:pt idx="11">
                  <c:v>10</c:v>
                </c:pt>
                <c:pt idx="12">
                  <c:v>10</c:v>
                </c:pt>
                <c:pt idx="13">
                  <c:v>9</c:v>
                </c:pt>
                <c:pt idx="14">
                  <c:v>4</c:v>
                </c:pt>
                <c:pt idx="15">
                  <c:v>14</c:v>
                </c:pt>
                <c:pt idx="16">
                  <c:v>9</c:v>
                </c:pt>
                <c:pt idx="17">
                  <c:v>10</c:v>
                </c:pt>
                <c:pt idx="18">
                  <c:v>12</c:v>
                </c:pt>
                <c:pt idx="19">
                  <c:v>15</c:v>
                </c:pt>
                <c:pt idx="20">
                  <c:v>13</c:v>
                </c:pt>
                <c:pt idx="21">
                  <c:v>18</c:v>
                </c:pt>
                <c:pt idx="22">
                  <c:v>4</c:v>
                </c:pt>
                <c:pt idx="23">
                  <c:v>12</c:v>
                </c:pt>
                <c:pt idx="2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D-4D13-AE47-6C27B50997A2}"/>
            </c:ext>
          </c:extLst>
        </c:ser>
        <c:ser>
          <c:idx val="3"/>
          <c:order val="3"/>
          <c:tx>
            <c:strRef>
              <c:f>All_TRT!$H$3</c:f>
              <c:strCache>
                <c:ptCount val="1"/>
                <c:pt idx="0">
                  <c:v>Poria, alive, symptoms</c:v>
                </c:pt>
              </c:strCache>
            </c:strRef>
          </c:tx>
          <c:spPr>
            <a:solidFill>
              <a:srgbClr val="2A6099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All_TRT!$D$4:$D$28</c:f>
              <c:strCache>
                <c:ptCount val="25"/>
                <c:pt idx="0">
                  <c:v>A1</c:v>
                </c:pt>
                <c:pt idx="1">
                  <c:v>B1</c:v>
                </c:pt>
                <c:pt idx="2">
                  <c:v>C1</c:v>
                </c:pt>
                <c:pt idx="3">
                  <c:v>D1</c:v>
                </c:pt>
                <c:pt idx="4">
                  <c:v>E1</c:v>
                </c:pt>
                <c:pt idx="5">
                  <c:v>A2</c:v>
                </c:pt>
                <c:pt idx="6">
                  <c:v>B2</c:v>
                </c:pt>
                <c:pt idx="7">
                  <c:v>C2</c:v>
                </c:pt>
                <c:pt idx="8">
                  <c:v>D2</c:v>
                </c:pt>
                <c:pt idx="9">
                  <c:v>E2</c:v>
                </c:pt>
                <c:pt idx="10">
                  <c:v>A3</c:v>
                </c:pt>
                <c:pt idx="11">
                  <c:v>B3</c:v>
                </c:pt>
                <c:pt idx="12">
                  <c:v>C3</c:v>
                </c:pt>
                <c:pt idx="13">
                  <c:v>D3</c:v>
                </c:pt>
                <c:pt idx="14">
                  <c:v>E3</c:v>
                </c:pt>
                <c:pt idx="15">
                  <c:v>A4</c:v>
                </c:pt>
                <c:pt idx="16">
                  <c:v>B4</c:v>
                </c:pt>
                <c:pt idx="17">
                  <c:v>C4</c:v>
                </c:pt>
                <c:pt idx="18">
                  <c:v>D4</c:v>
                </c:pt>
                <c:pt idx="19">
                  <c:v>E4</c:v>
                </c:pt>
                <c:pt idx="20">
                  <c:v>A0</c:v>
                </c:pt>
                <c:pt idx="21">
                  <c:v>B0</c:v>
                </c:pt>
                <c:pt idx="22">
                  <c:v>C0</c:v>
                </c:pt>
                <c:pt idx="23">
                  <c:v>D0</c:v>
                </c:pt>
                <c:pt idx="24">
                  <c:v>E0</c:v>
                </c:pt>
              </c:strCache>
            </c:strRef>
          </c:cat>
          <c:val>
            <c:numRef>
              <c:f>All_TRT!$H$4:$H$28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2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0</c:v>
                </c:pt>
                <c:pt idx="23">
                  <c:v>2</c:v>
                </c:pt>
                <c:pt idx="2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8D-4D13-AE47-6C27B50997A2}"/>
            </c:ext>
          </c:extLst>
        </c:ser>
        <c:ser>
          <c:idx val="4"/>
          <c:order val="4"/>
          <c:tx>
            <c:strRef>
              <c:f>All_TRT!$I$3</c:f>
              <c:strCache>
                <c:ptCount val="1"/>
                <c:pt idx="0">
                  <c:v>Poria, alive, stump detection</c:v>
                </c:pt>
              </c:strCache>
            </c:strRef>
          </c:tx>
          <c:spPr>
            <a:solidFill>
              <a:srgbClr val="00A933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All_TRT!$D$4:$D$28</c:f>
              <c:strCache>
                <c:ptCount val="25"/>
                <c:pt idx="0">
                  <c:v>A1</c:v>
                </c:pt>
                <c:pt idx="1">
                  <c:v>B1</c:v>
                </c:pt>
                <c:pt idx="2">
                  <c:v>C1</c:v>
                </c:pt>
                <c:pt idx="3">
                  <c:v>D1</c:v>
                </c:pt>
                <c:pt idx="4">
                  <c:v>E1</c:v>
                </c:pt>
                <c:pt idx="5">
                  <c:v>A2</c:v>
                </c:pt>
                <c:pt idx="6">
                  <c:v>B2</c:v>
                </c:pt>
                <c:pt idx="7">
                  <c:v>C2</c:v>
                </c:pt>
                <c:pt idx="8">
                  <c:v>D2</c:v>
                </c:pt>
                <c:pt idx="9">
                  <c:v>E2</c:v>
                </c:pt>
                <c:pt idx="10">
                  <c:v>A3</c:v>
                </c:pt>
                <c:pt idx="11">
                  <c:v>B3</c:v>
                </c:pt>
                <c:pt idx="12">
                  <c:v>C3</c:v>
                </c:pt>
                <c:pt idx="13">
                  <c:v>D3</c:v>
                </c:pt>
                <c:pt idx="14">
                  <c:v>E3</c:v>
                </c:pt>
                <c:pt idx="15">
                  <c:v>A4</c:v>
                </c:pt>
                <c:pt idx="16">
                  <c:v>B4</c:v>
                </c:pt>
                <c:pt idx="17">
                  <c:v>C4</c:v>
                </c:pt>
                <c:pt idx="18">
                  <c:v>D4</c:v>
                </c:pt>
                <c:pt idx="19">
                  <c:v>E4</c:v>
                </c:pt>
                <c:pt idx="20">
                  <c:v>A0</c:v>
                </c:pt>
                <c:pt idx="21">
                  <c:v>B0</c:v>
                </c:pt>
                <c:pt idx="22">
                  <c:v>C0</c:v>
                </c:pt>
                <c:pt idx="23">
                  <c:v>D0</c:v>
                </c:pt>
                <c:pt idx="24">
                  <c:v>E0</c:v>
                </c:pt>
              </c:strCache>
            </c:strRef>
          </c:cat>
          <c:val>
            <c:numRef>
              <c:f>All_TRT!$I$4:$I$28</c:f>
              <c:numCache>
                <c:formatCode>General</c:formatCode>
                <c:ptCount val="25"/>
                <c:pt idx="0">
                  <c:v>2</c:v>
                </c:pt>
                <c:pt idx="1">
                  <c:v>8</c:v>
                </c:pt>
                <c:pt idx="2">
                  <c:v>9</c:v>
                </c:pt>
                <c:pt idx="3">
                  <c:v>3</c:v>
                </c:pt>
                <c:pt idx="4">
                  <c:v>5</c:v>
                </c:pt>
                <c:pt idx="5">
                  <c:v>12</c:v>
                </c:pt>
                <c:pt idx="6">
                  <c:v>6</c:v>
                </c:pt>
                <c:pt idx="7">
                  <c:v>5</c:v>
                </c:pt>
                <c:pt idx="8">
                  <c:v>7</c:v>
                </c:pt>
                <c:pt idx="9">
                  <c:v>3</c:v>
                </c:pt>
                <c:pt idx="10">
                  <c:v>7</c:v>
                </c:pt>
                <c:pt idx="11">
                  <c:v>10</c:v>
                </c:pt>
                <c:pt idx="12">
                  <c:v>6</c:v>
                </c:pt>
                <c:pt idx="13">
                  <c:v>11</c:v>
                </c:pt>
                <c:pt idx="14">
                  <c:v>11</c:v>
                </c:pt>
                <c:pt idx="15">
                  <c:v>20</c:v>
                </c:pt>
                <c:pt idx="16">
                  <c:v>7</c:v>
                </c:pt>
                <c:pt idx="17">
                  <c:v>28</c:v>
                </c:pt>
                <c:pt idx="18">
                  <c:v>13</c:v>
                </c:pt>
                <c:pt idx="19">
                  <c:v>19</c:v>
                </c:pt>
                <c:pt idx="20">
                  <c:v>12</c:v>
                </c:pt>
                <c:pt idx="21">
                  <c:v>5</c:v>
                </c:pt>
                <c:pt idx="22">
                  <c:v>14</c:v>
                </c:pt>
                <c:pt idx="23">
                  <c:v>11</c:v>
                </c:pt>
                <c:pt idx="2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D-4D13-AE47-6C27B50997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6312028"/>
        <c:axId val="19870359"/>
      </c:barChart>
      <c:catAx>
        <c:axId val="631202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900" b="0" strike="noStrike" spc="-1">
                    <a:latin typeface="Arial"/>
                  </a:defRPr>
                </a:pPr>
                <a:r>
                  <a:rPr lang="en-US" sz="900" b="0" strike="noStrike" spc="-1">
                    <a:latin typeface="Arial"/>
                  </a:rPr>
                  <a:t>Plots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19870359"/>
        <c:crosses val="autoZero"/>
        <c:auto val="1"/>
        <c:lblAlgn val="ctr"/>
        <c:lblOffset val="100"/>
        <c:noMultiLvlLbl val="0"/>
      </c:catAx>
      <c:valAx>
        <c:axId val="1987035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900" b="0" strike="noStrike" spc="-1">
                    <a:latin typeface="Arial"/>
                  </a:defRPr>
                </a:pPr>
                <a:r>
                  <a:rPr lang="en-US" sz="900" b="0" strike="noStrike" spc="-1">
                    <a:latin typeface="Arial"/>
                  </a:rPr>
                  <a:t>Trees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6312028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strike="noStrike" spc="-1">
                <a:latin typeface="Arial"/>
              </a:defRPr>
            </a:pPr>
            <a:r>
              <a:rPr lang="en-US" sz="1300" b="0" strike="noStrike" spc="-1">
                <a:latin typeface="Arial"/>
              </a:rPr>
              <a:t>Pre-harvest laminated root rot incidence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ABC!$E$3</c:f>
              <c:strCache>
                <c:ptCount val="1"/>
                <c:pt idx="0">
                  <c:v>Poria, old stump</c:v>
                </c:pt>
              </c:strCache>
            </c:strRef>
          </c:tx>
          <c:spPr>
            <a:solidFill>
              <a:srgbClr val="80808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ABC!$D$4:$D$18</c:f>
              <c:strCache>
                <c:ptCount val="15"/>
                <c:pt idx="0">
                  <c:v>A1</c:v>
                </c:pt>
                <c:pt idx="1">
                  <c:v>B1</c:v>
                </c:pt>
                <c:pt idx="2">
                  <c:v>C1</c:v>
                </c:pt>
                <c:pt idx="3">
                  <c:v>A2</c:v>
                </c:pt>
                <c:pt idx="4">
                  <c:v>B2</c:v>
                </c:pt>
                <c:pt idx="5">
                  <c:v>C2</c:v>
                </c:pt>
                <c:pt idx="6">
                  <c:v>A3</c:v>
                </c:pt>
                <c:pt idx="7">
                  <c:v>B3</c:v>
                </c:pt>
                <c:pt idx="8">
                  <c:v>C3</c:v>
                </c:pt>
                <c:pt idx="9">
                  <c:v>A4</c:v>
                </c:pt>
                <c:pt idx="10">
                  <c:v>B4</c:v>
                </c:pt>
                <c:pt idx="11">
                  <c:v>C4</c:v>
                </c:pt>
                <c:pt idx="12">
                  <c:v>A0</c:v>
                </c:pt>
                <c:pt idx="13">
                  <c:v>B0</c:v>
                </c:pt>
                <c:pt idx="14">
                  <c:v>C0</c:v>
                </c:pt>
              </c:strCache>
            </c:strRef>
          </c:cat>
          <c:val>
            <c:numRef>
              <c:f>ABC!$E$4:$E$18</c:f>
              <c:numCache>
                <c:formatCode>General</c:formatCode>
                <c:ptCount val="15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3</c:v>
                </c:pt>
                <c:pt idx="10">
                  <c:v>1</c:v>
                </c:pt>
                <c:pt idx="11">
                  <c:v>6</c:v>
                </c:pt>
                <c:pt idx="12">
                  <c:v>2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EF-439C-AC7D-D8D92D745C9C}"/>
            </c:ext>
          </c:extLst>
        </c:ser>
        <c:ser>
          <c:idx val="1"/>
          <c:order val="1"/>
          <c:tx>
            <c:strRef>
              <c:f>ABC!$F$3</c:f>
              <c:strCache>
                <c:ptCount val="1"/>
                <c:pt idx="0">
                  <c:v>Poria, dead &gt;10Y</c:v>
                </c:pt>
              </c:strCache>
            </c:strRef>
          </c:tx>
          <c:spPr>
            <a:solidFill>
              <a:srgbClr val="FF000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ABC!$D$4:$D$18</c:f>
              <c:strCache>
                <c:ptCount val="15"/>
                <c:pt idx="0">
                  <c:v>A1</c:v>
                </c:pt>
                <c:pt idx="1">
                  <c:v>B1</c:v>
                </c:pt>
                <c:pt idx="2">
                  <c:v>C1</c:v>
                </c:pt>
                <c:pt idx="3">
                  <c:v>A2</c:v>
                </c:pt>
                <c:pt idx="4">
                  <c:v>B2</c:v>
                </c:pt>
                <c:pt idx="5">
                  <c:v>C2</c:v>
                </c:pt>
                <c:pt idx="6">
                  <c:v>A3</c:v>
                </c:pt>
                <c:pt idx="7">
                  <c:v>B3</c:v>
                </c:pt>
                <c:pt idx="8">
                  <c:v>C3</c:v>
                </c:pt>
                <c:pt idx="9">
                  <c:v>A4</c:v>
                </c:pt>
                <c:pt idx="10">
                  <c:v>B4</c:v>
                </c:pt>
                <c:pt idx="11">
                  <c:v>C4</c:v>
                </c:pt>
                <c:pt idx="12">
                  <c:v>A0</c:v>
                </c:pt>
                <c:pt idx="13">
                  <c:v>B0</c:v>
                </c:pt>
                <c:pt idx="14">
                  <c:v>C0</c:v>
                </c:pt>
              </c:strCache>
            </c:strRef>
          </c:cat>
          <c:val>
            <c:numRef>
              <c:f>ABC!$F$4:$F$18</c:f>
              <c:numCache>
                <c:formatCode>General</c:formatCode>
                <c:ptCount val="15"/>
                <c:pt idx="0">
                  <c:v>6</c:v>
                </c:pt>
                <c:pt idx="1">
                  <c:v>4</c:v>
                </c:pt>
                <c:pt idx="2">
                  <c:v>1</c:v>
                </c:pt>
                <c:pt idx="3">
                  <c:v>6</c:v>
                </c:pt>
                <c:pt idx="4">
                  <c:v>6</c:v>
                </c:pt>
                <c:pt idx="5">
                  <c:v>12</c:v>
                </c:pt>
                <c:pt idx="6">
                  <c:v>12</c:v>
                </c:pt>
                <c:pt idx="7">
                  <c:v>10</c:v>
                </c:pt>
                <c:pt idx="8">
                  <c:v>12</c:v>
                </c:pt>
                <c:pt idx="9">
                  <c:v>10</c:v>
                </c:pt>
                <c:pt idx="10">
                  <c:v>19</c:v>
                </c:pt>
                <c:pt idx="11">
                  <c:v>14</c:v>
                </c:pt>
                <c:pt idx="12">
                  <c:v>17</c:v>
                </c:pt>
                <c:pt idx="13">
                  <c:v>19</c:v>
                </c:pt>
                <c:pt idx="14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EF-439C-AC7D-D8D92D745C9C}"/>
            </c:ext>
          </c:extLst>
        </c:ser>
        <c:ser>
          <c:idx val="2"/>
          <c:order val="2"/>
          <c:tx>
            <c:strRef>
              <c:f>ABC!$G$3</c:f>
              <c:strCache>
                <c:ptCount val="1"/>
                <c:pt idx="0">
                  <c:v>Poria, dead &lt;10Y</c:v>
                </c:pt>
              </c:strCache>
            </c:strRef>
          </c:tx>
          <c:spPr>
            <a:solidFill>
              <a:srgbClr val="FFBF0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ABC!$D$4:$D$18</c:f>
              <c:strCache>
                <c:ptCount val="15"/>
                <c:pt idx="0">
                  <c:v>A1</c:v>
                </c:pt>
                <c:pt idx="1">
                  <c:v>B1</c:v>
                </c:pt>
                <c:pt idx="2">
                  <c:v>C1</c:v>
                </c:pt>
                <c:pt idx="3">
                  <c:v>A2</c:v>
                </c:pt>
                <c:pt idx="4">
                  <c:v>B2</c:v>
                </c:pt>
                <c:pt idx="5">
                  <c:v>C2</c:v>
                </c:pt>
                <c:pt idx="6">
                  <c:v>A3</c:v>
                </c:pt>
                <c:pt idx="7">
                  <c:v>B3</c:v>
                </c:pt>
                <c:pt idx="8">
                  <c:v>C3</c:v>
                </c:pt>
                <c:pt idx="9">
                  <c:v>A4</c:v>
                </c:pt>
                <c:pt idx="10">
                  <c:v>B4</c:v>
                </c:pt>
                <c:pt idx="11">
                  <c:v>C4</c:v>
                </c:pt>
                <c:pt idx="12">
                  <c:v>A0</c:v>
                </c:pt>
                <c:pt idx="13">
                  <c:v>B0</c:v>
                </c:pt>
                <c:pt idx="14">
                  <c:v>C0</c:v>
                </c:pt>
              </c:strCache>
            </c:strRef>
          </c:cat>
          <c:val>
            <c:numRef>
              <c:f>ABC!$G$4:$G$18</c:f>
              <c:numCache>
                <c:formatCode>General</c:formatCode>
                <c:ptCount val="15"/>
                <c:pt idx="0">
                  <c:v>6</c:v>
                </c:pt>
                <c:pt idx="1">
                  <c:v>0</c:v>
                </c:pt>
                <c:pt idx="2">
                  <c:v>5</c:v>
                </c:pt>
                <c:pt idx="3">
                  <c:v>8</c:v>
                </c:pt>
                <c:pt idx="4">
                  <c:v>7</c:v>
                </c:pt>
                <c:pt idx="5">
                  <c:v>9</c:v>
                </c:pt>
                <c:pt idx="6">
                  <c:v>9</c:v>
                </c:pt>
                <c:pt idx="7">
                  <c:v>10</c:v>
                </c:pt>
                <c:pt idx="8">
                  <c:v>10</c:v>
                </c:pt>
                <c:pt idx="9">
                  <c:v>14</c:v>
                </c:pt>
                <c:pt idx="10">
                  <c:v>9</c:v>
                </c:pt>
                <c:pt idx="11">
                  <c:v>10</c:v>
                </c:pt>
                <c:pt idx="12">
                  <c:v>13</c:v>
                </c:pt>
                <c:pt idx="13">
                  <c:v>18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EF-439C-AC7D-D8D92D745C9C}"/>
            </c:ext>
          </c:extLst>
        </c:ser>
        <c:ser>
          <c:idx val="3"/>
          <c:order val="3"/>
          <c:tx>
            <c:strRef>
              <c:f>ABC!$H$3</c:f>
              <c:strCache>
                <c:ptCount val="1"/>
                <c:pt idx="0">
                  <c:v>Poria, alive, symptoms</c:v>
                </c:pt>
              </c:strCache>
            </c:strRef>
          </c:tx>
          <c:spPr>
            <a:solidFill>
              <a:srgbClr val="2A6099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ABC!$D$4:$D$18</c:f>
              <c:strCache>
                <c:ptCount val="15"/>
                <c:pt idx="0">
                  <c:v>A1</c:v>
                </c:pt>
                <c:pt idx="1">
                  <c:v>B1</c:v>
                </c:pt>
                <c:pt idx="2">
                  <c:v>C1</c:v>
                </c:pt>
                <c:pt idx="3">
                  <c:v>A2</c:v>
                </c:pt>
                <c:pt idx="4">
                  <c:v>B2</c:v>
                </c:pt>
                <c:pt idx="5">
                  <c:v>C2</c:v>
                </c:pt>
                <c:pt idx="6">
                  <c:v>A3</c:v>
                </c:pt>
                <c:pt idx="7">
                  <c:v>B3</c:v>
                </c:pt>
                <c:pt idx="8">
                  <c:v>C3</c:v>
                </c:pt>
                <c:pt idx="9">
                  <c:v>A4</c:v>
                </c:pt>
                <c:pt idx="10">
                  <c:v>B4</c:v>
                </c:pt>
                <c:pt idx="11">
                  <c:v>C4</c:v>
                </c:pt>
                <c:pt idx="12">
                  <c:v>A0</c:v>
                </c:pt>
                <c:pt idx="13">
                  <c:v>B0</c:v>
                </c:pt>
                <c:pt idx="14">
                  <c:v>C0</c:v>
                </c:pt>
              </c:strCache>
            </c:strRef>
          </c:cat>
          <c:val>
            <c:numRef>
              <c:f>ABC!$H$4:$H$18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EF-439C-AC7D-D8D92D745C9C}"/>
            </c:ext>
          </c:extLst>
        </c:ser>
        <c:ser>
          <c:idx val="4"/>
          <c:order val="4"/>
          <c:tx>
            <c:strRef>
              <c:f>ABC!$I$3</c:f>
              <c:strCache>
                <c:ptCount val="1"/>
                <c:pt idx="0">
                  <c:v>Poria, alive, stump detection</c:v>
                </c:pt>
              </c:strCache>
            </c:strRef>
          </c:tx>
          <c:spPr>
            <a:solidFill>
              <a:srgbClr val="00A933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ABC!$D$4:$D$18</c:f>
              <c:strCache>
                <c:ptCount val="15"/>
                <c:pt idx="0">
                  <c:v>A1</c:v>
                </c:pt>
                <c:pt idx="1">
                  <c:v>B1</c:v>
                </c:pt>
                <c:pt idx="2">
                  <c:v>C1</c:v>
                </c:pt>
                <c:pt idx="3">
                  <c:v>A2</c:v>
                </c:pt>
                <c:pt idx="4">
                  <c:v>B2</c:v>
                </c:pt>
                <c:pt idx="5">
                  <c:v>C2</c:v>
                </c:pt>
                <c:pt idx="6">
                  <c:v>A3</c:v>
                </c:pt>
                <c:pt idx="7">
                  <c:v>B3</c:v>
                </c:pt>
                <c:pt idx="8">
                  <c:v>C3</c:v>
                </c:pt>
                <c:pt idx="9">
                  <c:v>A4</c:v>
                </c:pt>
                <c:pt idx="10">
                  <c:v>B4</c:v>
                </c:pt>
                <c:pt idx="11">
                  <c:v>C4</c:v>
                </c:pt>
                <c:pt idx="12">
                  <c:v>A0</c:v>
                </c:pt>
                <c:pt idx="13">
                  <c:v>B0</c:v>
                </c:pt>
                <c:pt idx="14">
                  <c:v>C0</c:v>
                </c:pt>
              </c:strCache>
            </c:strRef>
          </c:cat>
          <c:val>
            <c:numRef>
              <c:f>ABC!$I$4:$I$18</c:f>
              <c:numCache>
                <c:formatCode>General</c:formatCode>
                <c:ptCount val="15"/>
                <c:pt idx="0">
                  <c:v>2</c:v>
                </c:pt>
                <c:pt idx="1">
                  <c:v>8</c:v>
                </c:pt>
                <c:pt idx="2">
                  <c:v>9</c:v>
                </c:pt>
                <c:pt idx="3">
                  <c:v>12</c:v>
                </c:pt>
                <c:pt idx="4">
                  <c:v>6</c:v>
                </c:pt>
                <c:pt idx="5">
                  <c:v>5</c:v>
                </c:pt>
                <c:pt idx="6">
                  <c:v>7</c:v>
                </c:pt>
                <c:pt idx="7">
                  <c:v>10</c:v>
                </c:pt>
                <c:pt idx="8">
                  <c:v>6</c:v>
                </c:pt>
                <c:pt idx="9">
                  <c:v>20</c:v>
                </c:pt>
                <c:pt idx="10">
                  <c:v>7</c:v>
                </c:pt>
                <c:pt idx="11">
                  <c:v>28</c:v>
                </c:pt>
                <c:pt idx="12">
                  <c:v>12</c:v>
                </c:pt>
                <c:pt idx="13">
                  <c:v>5</c:v>
                </c:pt>
                <c:pt idx="1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EF-439C-AC7D-D8D92D745C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30548539"/>
        <c:axId val="46987352"/>
      </c:barChart>
      <c:catAx>
        <c:axId val="3054853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900" b="0" strike="noStrike" spc="-1">
                    <a:latin typeface="Arial"/>
                  </a:defRPr>
                </a:pPr>
                <a:r>
                  <a:rPr lang="en-US" sz="900" b="0" strike="noStrike" spc="-1">
                    <a:latin typeface="Arial"/>
                  </a:rPr>
                  <a:t>Plots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46987352"/>
        <c:crosses val="autoZero"/>
        <c:auto val="1"/>
        <c:lblAlgn val="ctr"/>
        <c:lblOffset val="100"/>
        <c:noMultiLvlLbl val="0"/>
      </c:catAx>
      <c:valAx>
        <c:axId val="4698735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900" b="0" strike="noStrike" spc="-1">
                    <a:latin typeface="Arial"/>
                  </a:defRPr>
                </a:pPr>
                <a:r>
                  <a:rPr lang="en-US" sz="900" b="0" strike="noStrike" spc="-1">
                    <a:latin typeface="Arial"/>
                  </a:rPr>
                  <a:t>Trees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30548539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276840</xdr:colOff>
      <xdr:row>29</xdr:row>
      <xdr:rowOff>130680</xdr:rowOff>
    </xdr:from>
    <xdr:to>
      <xdr:col>18</xdr:col>
      <xdr:colOff>388080</xdr:colOff>
      <xdr:row>64</xdr:row>
      <xdr:rowOff>25560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5</xdr:col>
      <xdr:colOff>489600</xdr:colOff>
      <xdr:row>33</xdr:row>
      <xdr:rowOff>95760</xdr:rowOff>
    </xdr:from>
    <xdr:to>
      <xdr:col>5</xdr:col>
      <xdr:colOff>507240</xdr:colOff>
      <xdr:row>60</xdr:row>
      <xdr:rowOff>5040</xdr:rowOff>
    </xdr:to>
    <xdr:sp macro="" textlink="">
      <xdr:nv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3413880" y="5742720"/>
          <a:ext cx="17640" cy="429840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absolute">
    <xdr:from>
      <xdr:col>7</xdr:col>
      <xdr:colOff>281520</xdr:colOff>
      <xdr:row>33</xdr:row>
      <xdr:rowOff>105840</xdr:rowOff>
    </xdr:from>
    <xdr:to>
      <xdr:col>7</xdr:col>
      <xdr:colOff>317520</xdr:colOff>
      <xdr:row>59</xdr:row>
      <xdr:rowOff>132840</xdr:rowOff>
    </xdr:to>
    <xdr:sp macro="" textlink="">
      <xdr:nvSpPr>
        <xdr:cNvPr id="4" name="Straight Connector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4831920" y="5752440"/>
          <a:ext cx="36000" cy="425340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absolute">
    <xdr:from>
      <xdr:col>9</xdr:col>
      <xdr:colOff>120960</xdr:colOff>
      <xdr:row>33</xdr:row>
      <xdr:rowOff>96120</xdr:rowOff>
    </xdr:from>
    <xdr:to>
      <xdr:col>9</xdr:col>
      <xdr:colOff>138960</xdr:colOff>
      <xdr:row>60</xdr:row>
      <xdr:rowOff>33120</xdr:rowOff>
    </xdr:to>
    <xdr:sp macro="" textlink="">
      <xdr:nvSpPr>
        <xdr:cNvPr id="5" name="Straight Connector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6296760" y="5742720"/>
          <a:ext cx="18000" cy="432612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absolute">
    <xdr:from>
      <xdr:col>11</xdr:col>
      <xdr:colOff>372600</xdr:colOff>
      <xdr:row>33</xdr:row>
      <xdr:rowOff>95760</xdr:rowOff>
    </xdr:from>
    <xdr:to>
      <xdr:col>11</xdr:col>
      <xdr:colOff>390240</xdr:colOff>
      <xdr:row>60</xdr:row>
      <xdr:rowOff>5040</xdr:rowOff>
    </xdr:to>
    <xdr:sp macro="" textlink="">
      <xdr:nvSpPr>
        <xdr:cNvPr id="6" name="Straight Connector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7734960" y="5742720"/>
          <a:ext cx="17640" cy="429840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30240</xdr:colOff>
      <xdr:row>19</xdr:row>
      <xdr:rowOff>61920</xdr:rowOff>
    </xdr:from>
    <xdr:to>
      <xdr:col>14</xdr:col>
      <xdr:colOff>264960</xdr:colOff>
      <xdr:row>46</xdr:row>
      <xdr:rowOff>95040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4</xdr:col>
      <xdr:colOff>432955</xdr:colOff>
      <xdr:row>22</xdr:row>
      <xdr:rowOff>8660</xdr:rowOff>
    </xdr:from>
    <xdr:to>
      <xdr:col>4</xdr:col>
      <xdr:colOff>447439</xdr:colOff>
      <xdr:row>43</xdr:row>
      <xdr:rowOff>55005</xdr:rowOff>
    </xdr:to>
    <xdr:sp macro="" textlink="">
      <xdr:nvSpPr>
        <xdr:cNvPr id="6" name="Straight Connector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/>
      </xdr:nvSpPr>
      <xdr:spPr>
        <a:xfrm>
          <a:off x="2459182" y="4113069"/>
          <a:ext cx="14484" cy="3501322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absolute">
    <xdr:from>
      <xdr:col>5</xdr:col>
      <xdr:colOff>650672</xdr:colOff>
      <xdr:row>22</xdr:row>
      <xdr:rowOff>23192</xdr:rowOff>
    </xdr:from>
    <xdr:to>
      <xdr:col>5</xdr:col>
      <xdr:colOff>684069</xdr:colOff>
      <xdr:row>43</xdr:row>
      <xdr:rowOff>69273</xdr:rowOff>
    </xdr:to>
    <xdr:sp macro="" textlink="">
      <xdr:nvSpPr>
        <xdr:cNvPr id="7" name="Straight Connector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>
        <a:xfrm>
          <a:off x="3447558" y="4127601"/>
          <a:ext cx="33397" cy="3501058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absolute">
    <xdr:from>
      <xdr:col>7</xdr:col>
      <xdr:colOff>96573</xdr:colOff>
      <xdr:row>22</xdr:row>
      <xdr:rowOff>14835</xdr:rowOff>
    </xdr:from>
    <xdr:to>
      <xdr:col>7</xdr:col>
      <xdr:colOff>121226</xdr:colOff>
      <xdr:row>43</xdr:row>
      <xdr:rowOff>86591</xdr:rowOff>
    </xdr:to>
    <xdr:sp macro="" textlink="">
      <xdr:nvSpPr>
        <xdr:cNvPr id="8" name="Straight Connector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/>
      </xdr:nvSpPr>
      <xdr:spPr>
        <a:xfrm>
          <a:off x="4434778" y="4119244"/>
          <a:ext cx="24653" cy="3526733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absolute">
    <xdr:from>
      <xdr:col>8</xdr:col>
      <xdr:colOff>346363</xdr:colOff>
      <xdr:row>22</xdr:row>
      <xdr:rowOff>14835</xdr:rowOff>
    </xdr:from>
    <xdr:to>
      <xdr:col>8</xdr:col>
      <xdr:colOff>351871</xdr:colOff>
      <xdr:row>43</xdr:row>
      <xdr:rowOff>51955</xdr:rowOff>
    </xdr:to>
    <xdr:sp macro="" textlink="">
      <xdr:nvSpPr>
        <xdr:cNvPr id="9" name="Straight Connector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/>
      </xdr:nvSpPr>
      <xdr:spPr>
        <a:xfrm flipH="1">
          <a:off x="5455227" y="4119244"/>
          <a:ext cx="5508" cy="3492097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29"/>
  <sheetViews>
    <sheetView topLeftCell="A28" zoomScale="110" zoomScaleNormal="110" workbookViewId="0">
      <selection activeCell="P37" sqref="P37"/>
    </sheetView>
  </sheetViews>
  <sheetFormatPr defaultColWidth="11.5703125" defaultRowHeight="12.75" x14ac:dyDescent="0.2"/>
  <cols>
    <col min="1" max="1" width="5.28515625" customWidth="1"/>
    <col min="2" max="2" width="7.85546875" customWidth="1"/>
    <col min="3" max="3" width="9.85546875" customWidth="1"/>
    <col min="4" max="4" width="7" customWidth="1"/>
    <col min="11" max="11" width="5.28515625" customWidth="1"/>
    <col min="12" max="12" width="6.7109375" customWidth="1"/>
    <col min="13" max="13" width="5" customWidth="1"/>
    <col min="14" max="14" width="4.85546875" customWidth="1"/>
    <col min="15" max="15" width="6.5703125" customWidth="1"/>
    <col min="16" max="16" width="5.42578125" customWidth="1"/>
    <col min="17" max="17" width="9.140625" customWidth="1"/>
    <col min="19" max="19" width="8.85546875" customWidth="1"/>
  </cols>
  <sheetData>
    <row r="1" spans="1:102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/>
      <c r="H1" s="1"/>
      <c r="I1" s="1"/>
    </row>
    <row r="2" spans="1:1024" x14ac:dyDescent="0.2">
      <c r="A2" s="1"/>
      <c r="B2" s="1"/>
      <c r="C2" s="1"/>
      <c r="D2" s="1"/>
      <c r="E2" s="2" t="s">
        <v>5</v>
      </c>
      <c r="F2" s="3" t="s">
        <v>6</v>
      </c>
      <c r="G2" s="4" t="s">
        <v>7</v>
      </c>
      <c r="H2" s="5" t="s">
        <v>8</v>
      </c>
      <c r="I2" s="6" t="s">
        <v>9</v>
      </c>
      <c r="J2" s="7" t="s">
        <v>10</v>
      </c>
    </row>
    <row r="3" spans="1:1024" s="8" customFormat="1" ht="38.25" x14ac:dyDescent="0.2">
      <c r="E3" s="9" t="s">
        <v>11</v>
      </c>
      <c r="F3" s="10" t="s">
        <v>12</v>
      </c>
      <c r="G3" s="11" t="s">
        <v>13</v>
      </c>
      <c r="H3" s="12" t="s">
        <v>14</v>
      </c>
      <c r="I3" s="13" t="s">
        <v>15</v>
      </c>
      <c r="J3" s="14" t="s">
        <v>16</v>
      </c>
      <c r="K3" s="8" t="s">
        <v>17</v>
      </c>
      <c r="L3" s="8" t="s">
        <v>18</v>
      </c>
      <c r="M3" s="8" t="s">
        <v>19</v>
      </c>
      <c r="N3" s="8" t="s">
        <v>20</v>
      </c>
      <c r="O3" s="8" t="s">
        <v>21</v>
      </c>
      <c r="P3" s="8" t="s">
        <v>22</v>
      </c>
      <c r="Q3" s="8" t="s">
        <v>23</v>
      </c>
      <c r="R3" s="8" t="s">
        <v>24</v>
      </c>
      <c r="S3" s="8" t="s">
        <v>25</v>
      </c>
      <c r="AMJ3"/>
    </row>
    <row r="4" spans="1:1024" x14ac:dyDescent="0.2">
      <c r="A4" t="s">
        <v>26</v>
      </c>
      <c r="B4">
        <v>1</v>
      </c>
      <c r="C4">
        <v>1</v>
      </c>
      <c r="D4" t="s">
        <v>27</v>
      </c>
      <c r="E4">
        <v>0</v>
      </c>
      <c r="F4">
        <v>6</v>
      </c>
      <c r="G4">
        <v>6</v>
      </c>
      <c r="H4">
        <v>0</v>
      </c>
      <c r="I4">
        <v>2</v>
      </c>
      <c r="J4">
        <v>0</v>
      </c>
      <c r="K4">
        <v>14</v>
      </c>
      <c r="L4">
        <v>14</v>
      </c>
      <c r="M4">
        <v>8</v>
      </c>
      <c r="N4">
        <v>23</v>
      </c>
      <c r="O4">
        <v>22</v>
      </c>
      <c r="P4">
        <v>22</v>
      </c>
      <c r="Q4">
        <f>AVERAGE(N4:N8)</f>
        <v>22.8</v>
      </c>
      <c r="R4">
        <f>AVERAGE(O4:O8)</f>
        <v>22.2</v>
      </c>
      <c r="S4">
        <f>AVERAGE(P4:P8)</f>
        <v>20.8</v>
      </c>
    </row>
    <row r="5" spans="1:1024" x14ac:dyDescent="0.2">
      <c r="A5" t="s">
        <v>28</v>
      </c>
      <c r="B5">
        <v>1</v>
      </c>
      <c r="C5">
        <v>1</v>
      </c>
      <c r="D5" t="s">
        <v>29</v>
      </c>
      <c r="E5">
        <v>1</v>
      </c>
      <c r="F5">
        <v>4</v>
      </c>
      <c r="G5">
        <v>0</v>
      </c>
      <c r="H5">
        <v>0</v>
      </c>
      <c r="I5">
        <v>8</v>
      </c>
      <c r="J5">
        <v>0</v>
      </c>
      <c r="K5">
        <v>13</v>
      </c>
      <c r="L5">
        <v>12</v>
      </c>
      <c r="M5">
        <v>8</v>
      </c>
      <c r="N5">
        <v>24</v>
      </c>
      <c r="O5">
        <v>24</v>
      </c>
      <c r="P5">
        <v>22</v>
      </c>
    </row>
    <row r="6" spans="1:1024" x14ac:dyDescent="0.2">
      <c r="A6" t="s">
        <v>30</v>
      </c>
      <c r="B6">
        <v>1</v>
      </c>
      <c r="C6">
        <v>1</v>
      </c>
      <c r="D6" t="s">
        <v>31</v>
      </c>
      <c r="E6">
        <v>0</v>
      </c>
      <c r="F6">
        <v>1</v>
      </c>
      <c r="G6">
        <v>5</v>
      </c>
      <c r="H6">
        <v>0</v>
      </c>
      <c r="I6">
        <v>9</v>
      </c>
      <c r="J6">
        <v>0</v>
      </c>
      <c r="K6">
        <v>15</v>
      </c>
      <c r="L6">
        <v>15</v>
      </c>
      <c r="M6">
        <v>14</v>
      </c>
      <c r="N6">
        <v>21</v>
      </c>
      <c r="O6">
        <v>20</v>
      </c>
      <c r="P6">
        <v>17</v>
      </c>
    </row>
    <row r="7" spans="1:1024" x14ac:dyDescent="0.2">
      <c r="A7" t="s">
        <v>32</v>
      </c>
      <c r="B7">
        <v>1</v>
      </c>
      <c r="C7">
        <v>1</v>
      </c>
      <c r="D7" t="s">
        <v>33</v>
      </c>
      <c r="E7">
        <v>1</v>
      </c>
      <c r="F7">
        <v>3</v>
      </c>
      <c r="G7">
        <v>4</v>
      </c>
      <c r="H7">
        <v>1</v>
      </c>
      <c r="I7">
        <v>3</v>
      </c>
      <c r="J7" s="15">
        <v>4</v>
      </c>
      <c r="K7">
        <v>12</v>
      </c>
      <c r="L7">
        <v>11</v>
      </c>
      <c r="M7">
        <v>8</v>
      </c>
      <c r="N7">
        <v>25</v>
      </c>
      <c r="O7">
        <v>25</v>
      </c>
      <c r="P7">
        <v>22</v>
      </c>
    </row>
    <row r="8" spans="1:1024" x14ac:dyDescent="0.2">
      <c r="A8" t="s">
        <v>34</v>
      </c>
      <c r="B8">
        <v>1</v>
      </c>
      <c r="C8">
        <v>1</v>
      </c>
      <c r="D8" t="s">
        <v>35</v>
      </c>
      <c r="E8">
        <v>0</v>
      </c>
      <c r="F8">
        <v>6</v>
      </c>
      <c r="G8">
        <v>4</v>
      </c>
      <c r="H8">
        <v>0</v>
      </c>
      <c r="I8">
        <v>5</v>
      </c>
      <c r="J8">
        <v>0</v>
      </c>
      <c r="K8">
        <v>15</v>
      </c>
      <c r="L8">
        <v>15</v>
      </c>
      <c r="M8">
        <v>9</v>
      </c>
      <c r="N8">
        <v>21</v>
      </c>
      <c r="O8">
        <v>20</v>
      </c>
      <c r="P8">
        <v>21</v>
      </c>
    </row>
    <row r="9" spans="1:1024" x14ac:dyDescent="0.2">
      <c r="A9" t="s">
        <v>26</v>
      </c>
      <c r="B9">
        <v>2</v>
      </c>
      <c r="C9">
        <v>2</v>
      </c>
      <c r="D9" t="s">
        <v>36</v>
      </c>
      <c r="E9">
        <v>0</v>
      </c>
      <c r="F9">
        <v>6</v>
      </c>
      <c r="G9">
        <v>8</v>
      </c>
      <c r="H9">
        <v>0</v>
      </c>
      <c r="I9">
        <v>12</v>
      </c>
      <c r="J9">
        <v>0</v>
      </c>
      <c r="K9">
        <v>26</v>
      </c>
      <c r="L9">
        <v>26</v>
      </c>
      <c r="M9">
        <v>20</v>
      </c>
      <c r="N9">
        <v>17</v>
      </c>
      <c r="O9">
        <v>16</v>
      </c>
      <c r="P9">
        <v>9</v>
      </c>
      <c r="Q9">
        <f>AVERAGE(N9:N13)</f>
        <v>17.600000000000001</v>
      </c>
      <c r="R9">
        <f>AVERAGE(O9:O13)</f>
        <v>18.399999999999999</v>
      </c>
      <c r="S9">
        <f>AVERAGE(P9:P13)</f>
        <v>17.8</v>
      </c>
    </row>
    <row r="10" spans="1:1024" x14ac:dyDescent="0.2">
      <c r="A10" t="s">
        <v>28</v>
      </c>
      <c r="B10">
        <v>2</v>
      </c>
      <c r="C10">
        <v>2</v>
      </c>
      <c r="D10" t="s">
        <v>37</v>
      </c>
      <c r="E10">
        <v>0</v>
      </c>
      <c r="F10">
        <v>6</v>
      </c>
      <c r="G10">
        <v>7</v>
      </c>
      <c r="H10">
        <v>0</v>
      </c>
      <c r="I10">
        <v>6</v>
      </c>
      <c r="J10">
        <v>0</v>
      </c>
      <c r="K10">
        <v>19</v>
      </c>
      <c r="L10">
        <v>19</v>
      </c>
      <c r="M10">
        <v>13</v>
      </c>
      <c r="N10">
        <v>19</v>
      </c>
      <c r="O10">
        <v>19</v>
      </c>
      <c r="P10">
        <v>19</v>
      </c>
    </row>
    <row r="11" spans="1:1024" x14ac:dyDescent="0.2">
      <c r="A11" t="s">
        <v>30</v>
      </c>
      <c r="B11">
        <v>2</v>
      </c>
      <c r="C11">
        <v>2</v>
      </c>
      <c r="D11" t="s">
        <v>38</v>
      </c>
      <c r="E11">
        <v>2</v>
      </c>
      <c r="F11">
        <v>12</v>
      </c>
      <c r="G11">
        <v>9</v>
      </c>
      <c r="H11">
        <v>0</v>
      </c>
      <c r="I11">
        <v>5</v>
      </c>
      <c r="J11">
        <v>0</v>
      </c>
      <c r="K11">
        <v>28</v>
      </c>
      <c r="L11">
        <v>26</v>
      </c>
      <c r="M11">
        <v>14</v>
      </c>
      <c r="N11">
        <v>14</v>
      </c>
      <c r="O11">
        <v>16</v>
      </c>
      <c r="P11">
        <v>17</v>
      </c>
    </row>
    <row r="12" spans="1:1024" x14ac:dyDescent="0.2">
      <c r="A12" t="s">
        <v>32</v>
      </c>
      <c r="B12">
        <v>2</v>
      </c>
      <c r="C12">
        <v>2</v>
      </c>
      <c r="D12" t="s">
        <v>39</v>
      </c>
      <c r="E12">
        <v>0</v>
      </c>
      <c r="F12">
        <v>7</v>
      </c>
      <c r="G12">
        <v>6</v>
      </c>
      <c r="H12">
        <v>0</v>
      </c>
      <c r="I12">
        <v>7</v>
      </c>
      <c r="J12">
        <v>0</v>
      </c>
      <c r="K12">
        <v>20</v>
      </c>
      <c r="L12">
        <v>20</v>
      </c>
      <c r="M12">
        <v>13</v>
      </c>
      <c r="N12">
        <v>18</v>
      </c>
      <c r="O12">
        <v>18</v>
      </c>
      <c r="P12">
        <v>19</v>
      </c>
    </row>
    <row r="13" spans="1:1024" x14ac:dyDescent="0.2">
      <c r="A13" t="s">
        <v>34</v>
      </c>
      <c r="B13">
        <v>2</v>
      </c>
      <c r="C13">
        <v>2</v>
      </c>
      <c r="D13" t="s">
        <v>40</v>
      </c>
      <c r="E13">
        <v>4</v>
      </c>
      <c r="F13">
        <v>7</v>
      </c>
      <c r="G13">
        <v>3</v>
      </c>
      <c r="H13">
        <v>0</v>
      </c>
      <c r="I13">
        <v>3</v>
      </c>
      <c r="J13" s="15">
        <v>2</v>
      </c>
      <c r="K13">
        <v>17</v>
      </c>
      <c r="L13">
        <v>13</v>
      </c>
      <c r="M13">
        <v>6</v>
      </c>
      <c r="N13">
        <v>20</v>
      </c>
      <c r="O13">
        <v>23</v>
      </c>
      <c r="P13">
        <v>25</v>
      </c>
    </row>
    <row r="14" spans="1:1024" x14ac:dyDescent="0.2">
      <c r="A14" t="s">
        <v>26</v>
      </c>
      <c r="B14">
        <v>3</v>
      </c>
      <c r="C14">
        <v>3</v>
      </c>
      <c r="D14" t="s">
        <v>41</v>
      </c>
      <c r="E14">
        <v>0</v>
      </c>
      <c r="F14">
        <v>12</v>
      </c>
      <c r="G14">
        <v>9</v>
      </c>
      <c r="H14">
        <v>0</v>
      </c>
      <c r="I14">
        <v>7</v>
      </c>
      <c r="J14" s="15">
        <v>1</v>
      </c>
      <c r="K14">
        <v>28</v>
      </c>
      <c r="L14">
        <v>28</v>
      </c>
      <c r="M14">
        <v>16</v>
      </c>
      <c r="N14">
        <v>14</v>
      </c>
      <c r="O14">
        <v>13</v>
      </c>
      <c r="P14">
        <v>13</v>
      </c>
      <c r="Q14">
        <f>AVERAGE(N14:N18)</f>
        <v>12.6</v>
      </c>
      <c r="R14">
        <f>AVERAGE(O14:O18)</f>
        <v>12.6</v>
      </c>
      <c r="S14">
        <f>AVERAGE(P14:P18)</f>
        <v>12</v>
      </c>
    </row>
    <row r="15" spans="1:1024" x14ac:dyDescent="0.2">
      <c r="A15" t="s">
        <v>28</v>
      </c>
      <c r="B15">
        <v>3</v>
      </c>
      <c r="C15">
        <v>3</v>
      </c>
      <c r="D15" t="s">
        <v>42</v>
      </c>
      <c r="E15">
        <v>0</v>
      </c>
      <c r="F15">
        <v>10</v>
      </c>
      <c r="G15">
        <v>10</v>
      </c>
      <c r="H15">
        <v>0</v>
      </c>
      <c r="I15">
        <v>10</v>
      </c>
      <c r="J15" s="15">
        <v>1</v>
      </c>
      <c r="K15">
        <v>30</v>
      </c>
      <c r="L15">
        <v>30</v>
      </c>
      <c r="M15">
        <v>20</v>
      </c>
      <c r="N15">
        <v>12</v>
      </c>
      <c r="O15">
        <v>12</v>
      </c>
      <c r="P15">
        <v>9</v>
      </c>
    </row>
    <row r="16" spans="1:1024" x14ac:dyDescent="0.2">
      <c r="A16" t="s">
        <v>30</v>
      </c>
      <c r="B16">
        <v>3</v>
      </c>
      <c r="C16">
        <v>3</v>
      </c>
      <c r="D16" t="s">
        <v>43</v>
      </c>
      <c r="E16">
        <v>1</v>
      </c>
      <c r="F16">
        <v>12</v>
      </c>
      <c r="G16">
        <v>10</v>
      </c>
      <c r="H16">
        <v>0</v>
      </c>
      <c r="I16">
        <v>6</v>
      </c>
      <c r="J16">
        <v>0</v>
      </c>
      <c r="K16">
        <v>29</v>
      </c>
      <c r="L16">
        <v>28</v>
      </c>
      <c r="M16">
        <v>16</v>
      </c>
      <c r="N16">
        <v>13</v>
      </c>
      <c r="O16">
        <v>13</v>
      </c>
      <c r="P16">
        <v>13</v>
      </c>
    </row>
    <row r="17" spans="1:19" x14ac:dyDescent="0.2">
      <c r="A17" t="s">
        <v>32</v>
      </c>
      <c r="B17">
        <v>3</v>
      </c>
      <c r="C17">
        <v>3</v>
      </c>
      <c r="D17" t="s">
        <v>44</v>
      </c>
      <c r="E17">
        <v>1</v>
      </c>
      <c r="F17">
        <v>11</v>
      </c>
      <c r="G17">
        <v>9</v>
      </c>
      <c r="H17">
        <v>0</v>
      </c>
      <c r="I17">
        <v>11</v>
      </c>
      <c r="J17">
        <v>0</v>
      </c>
      <c r="K17">
        <v>32</v>
      </c>
      <c r="L17">
        <v>31</v>
      </c>
      <c r="M17">
        <v>20</v>
      </c>
      <c r="N17">
        <v>10</v>
      </c>
      <c r="O17">
        <v>10</v>
      </c>
      <c r="P17">
        <v>9</v>
      </c>
    </row>
    <row r="18" spans="1:19" x14ac:dyDescent="0.2">
      <c r="A18" t="s">
        <v>34</v>
      </c>
      <c r="B18">
        <v>3</v>
      </c>
      <c r="C18">
        <v>3</v>
      </c>
      <c r="D18" t="s">
        <v>45</v>
      </c>
      <c r="E18">
        <v>1</v>
      </c>
      <c r="F18">
        <v>12</v>
      </c>
      <c r="G18">
        <v>4</v>
      </c>
      <c r="H18">
        <v>0</v>
      </c>
      <c r="I18">
        <v>11</v>
      </c>
      <c r="J18">
        <v>0</v>
      </c>
      <c r="K18">
        <v>28</v>
      </c>
      <c r="L18">
        <v>27</v>
      </c>
      <c r="M18">
        <v>15</v>
      </c>
      <c r="N18">
        <v>14</v>
      </c>
      <c r="O18">
        <v>15</v>
      </c>
      <c r="P18">
        <v>16</v>
      </c>
    </row>
    <row r="19" spans="1:19" x14ac:dyDescent="0.2">
      <c r="A19" t="s">
        <v>26</v>
      </c>
      <c r="B19">
        <v>4</v>
      </c>
      <c r="C19">
        <v>4</v>
      </c>
      <c r="D19" t="s">
        <v>46</v>
      </c>
      <c r="E19">
        <v>3</v>
      </c>
      <c r="F19">
        <v>10</v>
      </c>
      <c r="G19">
        <v>14</v>
      </c>
      <c r="H19">
        <v>2</v>
      </c>
      <c r="I19">
        <v>20</v>
      </c>
      <c r="J19">
        <v>0</v>
      </c>
      <c r="K19">
        <v>49</v>
      </c>
      <c r="L19">
        <v>46</v>
      </c>
      <c r="M19">
        <v>36</v>
      </c>
      <c r="N19">
        <v>3</v>
      </c>
      <c r="O19">
        <v>3</v>
      </c>
      <c r="P19">
        <v>2</v>
      </c>
      <c r="Q19">
        <f>AVERAGE(N19:N23)</f>
        <v>3.8</v>
      </c>
      <c r="R19">
        <f>AVERAGE(O19:O23)</f>
        <v>3.6</v>
      </c>
      <c r="S19">
        <f>AVERAGE(P19:P23)</f>
        <v>4.8</v>
      </c>
    </row>
    <row r="20" spans="1:19" x14ac:dyDescent="0.2">
      <c r="A20" t="s">
        <v>28</v>
      </c>
      <c r="B20">
        <v>4</v>
      </c>
      <c r="C20">
        <v>4</v>
      </c>
      <c r="D20" t="s">
        <v>47</v>
      </c>
      <c r="E20">
        <v>1</v>
      </c>
      <c r="F20">
        <v>19</v>
      </c>
      <c r="G20">
        <v>9</v>
      </c>
      <c r="H20">
        <v>0</v>
      </c>
      <c r="I20">
        <v>7</v>
      </c>
      <c r="J20" s="15">
        <v>3</v>
      </c>
      <c r="K20">
        <v>36</v>
      </c>
      <c r="L20">
        <v>35</v>
      </c>
      <c r="M20">
        <v>16</v>
      </c>
      <c r="N20">
        <v>8</v>
      </c>
      <c r="O20">
        <v>8</v>
      </c>
      <c r="P20">
        <v>13</v>
      </c>
    </row>
    <row r="21" spans="1:19" x14ac:dyDescent="0.2">
      <c r="A21" t="s">
        <v>30</v>
      </c>
      <c r="B21">
        <v>4</v>
      </c>
      <c r="C21">
        <v>4</v>
      </c>
      <c r="D21" t="s">
        <v>48</v>
      </c>
      <c r="E21">
        <v>6</v>
      </c>
      <c r="F21">
        <v>14</v>
      </c>
      <c r="G21">
        <v>10</v>
      </c>
      <c r="H21">
        <v>2</v>
      </c>
      <c r="I21">
        <v>28</v>
      </c>
      <c r="J21">
        <v>0</v>
      </c>
      <c r="K21">
        <v>60</v>
      </c>
      <c r="L21">
        <v>54</v>
      </c>
      <c r="M21">
        <v>40</v>
      </c>
      <c r="N21">
        <v>2</v>
      </c>
      <c r="O21">
        <v>2</v>
      </c>
      <c r="P21">
        <v>1</v>
      </c>
    </row>
    <row r="22" spans="1:19" x14ac:dyDescent="0.2">
      <c r="A22" t="s">
        <v>32</v>
      </c>
      <c r="B22">
        <v>4</v>
      </c>
      <c r="C22">
        <v>4</v>
      </c>
      <c r="D22" t="s">
        <v>49</v>
      </c>
      <c r="E22">
        <v>2</v>
      </c>
      <c r="F22">
        <v>42</v>
      </c>
      <c r="G22">
        <v>12</v>
      </c>
      <c r="H22">
        <v>0</v>
      </c>
      <c r="I22">
        <v>13</v>
      </c>
      <c r="J22">
        <v>0</v>
      </c>
      <c r="K22">
        <v>69</v>
      </c>
      <c r="L22">
        <v>67</v>
      </c>
      <c r="M22">
        <v>25</v>
      </c>
      <c r="N22">
        <v>1</v>
      </c>
      <c r="O22">
        <v>1</v>
      </c>
      <c r="P22">
        <v>5</v>
      </c>
    </row>
    <row r="23" spans="1:19" x14ac:dyDescent="0.2">
      <c r="A23" t="s">
        <v>34</v>
      </c>
      <c r="B23">
        <v>4</v>
      </c>
      <c r="C23">
        <v>4</v>
      </c>
      <c r="D23" t="s">
        <v>50</v>
      </c>
      <c r="E23">
        <v>0</v>
      </c>
      <c r="F23">
        <v>10</v>
      </c>
      <c r="G23">
        <v>15</v>
      </c>
      <c r="H23">
        <v>1</v>
      </c>
      <c r="I23">
        <v>19</v>
      </c>
      <c r="J23">
        <v>0</v>
      </c>
      <c r="K23">
        <v>45</v>
      </c>
      <c r="L23">
        <v>45</v>
      </c>
      <c r="M23">
        <v>35</v>
      </c>
      <c r="N23">
        <v>5</v>
      </c>
      <c r="O23">
        <v>4</v>
      </c>
      <c r="P23">
        <v>3</v>
      </c>
    </row>
    <row r="24" spans="1:19" x14ac:dyDescent="0.2">
      <c r="A24" t="s">
        <v>26</v>
      </c>
      <c r="B24">
        <v>0</v>
      </c>
      <c r="C24">
        <v>5</v>
      </c>
      <c r="D24" t="s">
        <v>51</v>
      </c>
      <c r="E24">
        <v>2</v>
      </c>
      <c r="F24">
        <v>17</v>
      </c>
      <c r="G24">
        <v>13</v>
      </c>
      <c r="H24">
        <v>2</v>
      </c>
      <c r="I24">
        <v>12</v>
      </c>
      <c r="J24">
        <v>0</v>
      </c>
      <c r="K24">
        <v>46</v>
      </c>
      <c r="L24">
        <v>44</v>
      </c>
      <c r="M24">
        <v>27</v>
      </c>
      <c r="N24">
        <v>4</v>
      </c>
      <c r="O24">
        <v>5</v>
      </c>
      <c r="P24">
        <v>4</v>
      </c>
      <c r="Q24">
        <f>AVERAGE(N24:N28)</f>
        <v>7.4</v>
      </c>
      <c r="R24">
        <f>AVERAGE(O24:O28)</f>
        <v>7.4</v>
      </c>
      <c r="S24">
        <f>AVERAGE(P24:P28)</f>
        <v>6.8</v>
      </c>
    </row>
    <row r="25" spans="1:19" x14ac:dyDescent="0.2">
      <c r="A25" t="s">
        <v>28</v>
      </c>
      <c r="B25">
        <v>0</v>
      </c>
      <c r="C25">
        <v>5</v>
      </c>
      <c r="D25" t="s">
        <v>52</v>
      </c>
      <c r="E25">
        <v>0</v>
      </c>
      <c r="F25">
        <v>19</v>
      </c>
      <c r="G25">
        <v>18</v>
      </c>
      <c r="H25">
        <v>1</v>
      </c>
      <c r="I25">
        <v>5</v>
      </c>
      <c r="J25" s="15">
        <v>1</v>
      </c>
      <c r="K25">
        <v>43</v>
      </c>
      <c r="L25">
        <v>43</v>
      </c>
      <c r="M25">
        <v>24</v>
      </c>
      <c r="N25">
        <v>6</v>
      </c>
      <c r="O25">
        <v>6</v>
      </c>
      <c r="P25">
        <v>8</v>
      </c>
    </row>
    <row r="26" spans="1:19" x14ac:dyDescent="0.2">
      <c r="A26" t="s">
        <v>30</v>
      </c>
      <c r="B26">
        <v>0</v>
      </c>
      <c r="C26">
        <v>5</v>
      </c>
      <c r="D26" t="s">
        <v>53</v>
      </c>
      <c r="E26">
        <v>0</v>
      </c>
      <c r="F26">
        <v>13</v>
      </c>
      <c r="G26">
        <v>4</v>
      </c>
      <c r="H26">
        <v>0</v>
      </c>
      <c r="I26">
        <v>14</v>
      </c>
      <c r="J26" s="15">
        <v>2</v>
      </c>
      <c r="K26">
        <v>31</v>
      </c>
      <c r="L26">
        <v>31</v>
      </c>
      <c r="M26">
        <v>18</v>
      </c>
      <c r="N26">
        <v>11</v>
      </c>
      <c r="O26">
        <v>10</v>
      </c>
      <c r="P26">
        <v>12</v>
      </c>
    </row>
    <row r="27" spans="1:19" x14ac:dyDescent="0.2">
      <c r="A27" t="s">
        <v>32</v>
      </c>
      <c r="B27">
        <v>0</v>
      </c>
      <c r="C27">
        <v>5</v>
      </c>
      <c r="D27" t="s">
        <v>54</v>
      </c>
      <c r="E27">
        <v>0</v>
      </c>
      <c r="F27">
        <v>8</v>
      </c>
      <c r="G27">
        <v>12</v>
      </c>
      <c r="H27">
        <v>2</v>
      </c>
      <c r="I27">
        <v>11</v>
      </c>
      <c r="J27">
        <v>0</v>
      </c>
      <c r="K27">
        <v>33</v>
      </c>
      <c r="L27">
        <v>33</v>
      </c>
      <c r="M27">
        <v>25</v>
      </c>
      <c r="N27">
        <v>9</v>
      </c>
      <c r="O27">
        <v>9</v>
      </c>
      <c r="P27">
        <v>5</v>
      </c>
    </row>
    <row r="28" spans="1:19" x14ac:dyDescent="0.2">
      <c r="A28" t="s">
        <v>34</v>
      </c>
      <c r="B28">
        <v>0</v>
      </c>
      <c r="C28">
        <v>5</v>
      </c>
      <c r="D28" t="s">
        <v>55</v>
      </c>
      <c r="E28">
        <v>2</v>
      </c>
      <c r="F28">
        <v>14</v>
      </c>
      <c r="G28">
        <v>14</v>
      </c>
      <c r="H28">
        <v>1</v>
      </c>
      <c r="I28">
        <v>10</v>
      </c>
      <c r="J28">
        <v>0</v>
      </c>
      <c r="K28">
        <v>41</v>
      </c>
      <c r="L28">
        <v>39</v>
      </c>
      <c r="M28">
        <v>25</v>
      </c>
      <c r="N28">
        <v>7</v>
      </c>
      <c r="O28">
        <v>7</v>
      </c>
      <c r="P28">
        <v>5</v>
      </c>
    </row>
    <row r="29" spans="1:19" x14ac:dyDescent="0.2">
      <c r="C29" t="s">
        <v>56</v>
      </c>
      <c r="E29">
        <v>27</v>
      </c>
      <c r="F29">
        <v>281</v>
      </c>
      <c r="G29">
        <v>215</v>
      </c>
      <c r="H29">
        <v>12</v>
      </c>
      <c r="I29">
        <v>244</v>
      </c>
      <c r="J29">
        <v>14</v>
      </c>
      <c r="K29">
        <v>779</v>
      </c>
      <c r="L29">
        <v>752</v>
      </c>
      <c r="M29">
        <v>471</v>
      </c>
    </row>
  </sheetData>
  <mergeCells count="5">
    <mergeCell ref="A1:A2"/>
    <mergeCell ref="B1:B2"/>
    <mergeCell ref="C1:C2"/>
    <mergeCell ref="D1:D2"/>
    <mergeCell ref="E1:I1"/>
  </mergeCells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9"/>
  <sheetViews>
    <sheetView tabSelected="1" topLeftCell="A13" zoomScale="110" zoomScaleNormal="110" workbookViewId="0">
      <selection activeCell="R33" sqref="R33"/>
    </sheetView>
  </sheetViews>
  <sheetFormatPr defaultColWidth="11.5703125" defaultRowHeight="12.75" x14ac:dyDescent="0.2"/>
  <cols>
    <col min="1" max="1" width="5.28515625" customWidth="1"/>
    <col min="2" max="2" width="7.85546875" customWidth="1"/>
    <col min="3" max="3" width="10.28515625" customWidth="1"/>
    <col min="4" max="4" width="6.85546875" customWidth="1"/>
    <col min="11" max="11" width="5.140625" customWidth="1"/>
    <col min="12" max="12" width="7.140625" customWidth="1"/>
    <col min="13" max="13" width="5.7109375" customWidth="1"/>
    <col min="14" max="14" width="5" customWidth="1"/>
    <col min="15" max="15" width="6.28515625" customWidth="1"/>
    <col min="16" max="16" width="5.140625" customWidth="1"/>
    <col min="17" max="17" width="9.140625" customWidth="1"/>
    <col min="19" max="19" width="10.28515625" customWidth="1"/>
  </cols>
  <sheetData>
    <row r="1" spans="1:102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/>
      <c r="H1" s="1"/>
      <c r="I1" s="1"/>
    </row>
    <row r="2" spans="1:1024" x14ac:dyDescent="0.2">
      <c r="A2" s="1"/>
      <c r="B2" s="1"/>
      <c r="C2" s="1"/>
      <c r="D2" s="1"/>
      <c r="E2" s="2" t="s">
        <v>5</v>
      </c>
      <c r="F2" s="3" t="s">
        <v>6</v>
      </c>
      <c r="G2" s="4" t="s">
        <v>7</v>
      </c>
      <c r="H2" s="5" t="s">
        <v>8</v>
      </c>
      <c r="I2" s="6" t="s">
        <v>9</v>
      </c>
      <c r="J2" s="7" t="s">
        <v>10</v>
      </c>
    </row>
    <row r="3" spans="1:1024" s="8" customFormat="1" ht="51" x14ac:dyDescent="0.2">
      <c r="E3" s="9" t="s">
        <v>11</v>
      </c>
      <c r="F3" s="10" t="s">
        <v>12</v>
      </c>
      <c r="G3" s="11" t="s">
        <v>13</v>
      </c>
      <c r="H3" s="12" t="s">
        <v>14</v>
      </c>
      <c r="I3" s="13" t="s">
        <v>15</v>
      </c>
      <c r="J3" s="14" t="s">
        <v>16</v>
      </c>
      <c r="K3" s="8" t="s">
        <v>17</v>
      </c>
      <c r="L3" s="8" t="s">
        <v>18</v>
      </c>
      <c r="M3" s="8" t="s">
        <v>19</v>
      </c>
      <c r="N3" s="8" t="s">
        <v>20</v>
      </c>
      <c r="O3" s="8" t="s">
        <v>21</v>
      </c>
      <c r="P3" s="8" t="s">
        <v>22</v>
      </c>
      <c r="Q3" s="8" t="s">
        <v>23</v>
      </c>
      <c r="R3" s="8" t="s">
        <v>24</v>
      </c>
      <c r="S3" s="8" t="s">
        <v>25</v>
      </c>
      <c r="AMJ3"/>
    </row>
    <row r="4" spans="1:1024" x14ac:dyDescent="0.2">
      <c r="A4" t="s">
        <v>26</v>
      </c>
      <c r="B4">
        <v>1</v>
      </c>
      <c r="C4">
        <v>1</v>
      </c>
      <c r="D4" t="s">
        <v>27</v>
      </c>
      <c r="E4">
        <v>0</v>
      </c>
      <c r="F4">
        <v>6</v>
      </c>
      <c r="G4">
        <v>6</v>
      </c>
      <c r="H4">
        <v>0</v>
      </c>
      <c r="I4">
        <v>2</v>
      </c>
      <c r="J4">
        <v>0</v>
      </c>
      <c r="K4">
        <v>14</v>
      </c>
      <c r="L4">
        <v>14</v>
      </c>
      <c r="M4">
        <v>8</v>
      </c>
      <c r="N4">
        <v>14</v>
      </c>
      <c r="O4">
        <v>14</v>
      </c>
      <c r="P4">
        <v>14</v>
      </c>
      <c r="Q4">
        <v>14</v>
      </c>
      <c r="R4">
        <v>14</v>
      </c>
      <c r="S4">
        <v>13</v>
      </c>
    </row>
    <row r="5" spans="1:1024" x14ac:dyDescent="0.2">
      <c r="A5" t="s">
        <v>28</v>
      </c>
      <c r="B5">
        <v>1</v>
      </c>
      <c r="C5">
        <v>1</v>
      </c>
      <c r="D5" t="s">
        <v>29</v>
      </c>
      <c r="E5">
        <v>1</v>
      </c>
      <c r="F5">
        <v>4</v>
      </c>
      <c r="G5">
        <v>0</v>
      </c>
      <c r="H5">
        <v>0</v>
      </c>
      <c r="I5">
        <v>8</v>
      </c>
      <c r="J5">
        <v>0</v>
      </c>
      <c r="K5">
        <v>13</v>
      </c>
      <c r="L5">
        <v>12</v>
      </c>
      <c r="M5">
        <v>8</v>
      </c>
      <c r="N5">
        <v>15</v>
      </c>
      <c r="O5">
        <v>15</v>
      </c>
      <c r="P5">
        <v>14</v>
      </c>
    </row>
    <row r="6" spans="1:1024" x14ac:dyDescent="0.2">
      <c r="A6" t="s">
        <v>30</v>
      </c>
      <c r="B6">
        <v>1</v>
      </c>
      <c r="C6">
        <v>1</v>
      </c>
      <c r="D6" t="s">
        <v>31</v>
      </c>
      <c r="E6">
        <v>0</v>
      </c>
      <c r="F6">
        <v>1</v>
      </c>
      <c r="G6">
        <v>5</v>
      </c>
      <c r="H6">
        <v>0</v>
      </c>
      <c r="I6">
        <v>9</v>
      </c>
      <c r="J6">
        <v>0</v>
      </c>
      <c r="K6">
        <v>15</v>
      </c>
      <c r="L6">
        <v>15</v>
      </c>
      <c r="M6">
        <v>14</v>
      </c>
      <c r="N6">
        <v>13</v>
      </c>
      <c r="O6">
        <v>13</v>
      </c>
      <c r="P6">
        <v>11</v>
      </c>
    </row>
    <row r="7" spans="1:1024" x14ac:dyDescent="0.2">
      <c r="A7" t="s">
        <v>26</v>
      </c>
      <c r="B7">
        <v>2</v>
      </c>
      <c r="C7">
        <v>2</v>
      </c>
      <c r="D7" t="s">
        <v>36</v>
      </c>
      <c r="E7">
        <v>0</v>
      </c>
      <c r="F7">
        <v>6</v>
      </c>
      <c r="G7">
        <v>8</v>
      </c>
      <c r="H7">
        <v>0</v>
      </c>
      <c r="I7">
        <v>12</v>
      </c>
      <c r="J7">
        <v>0</v>
      </c>
      <c r="K7">
        <v>26</v>
      </c>
      <c r="L7">
        <v>26</v>
      </c>
      <c r="M7">
        <v>20</v>
      </c>
      <c r="N7">
        <v>11</v>
      </c>
      <c r="O7">
        <v>10</v>
      </c>
      <c r="P7">
        <v>5</v>
      </c>
      <c r="Q7">
        <v>10.6666666666667</v>
      </c>
      <c r="R7">
        <v>10.6666666666667</v>
      </c>
      <c r="S7">
        <v>9.6666666666666696</v>
      </c>
    </row>
    <row r="8" spans="1:1024" x14ac:dyDescent="0.2">
      <c r="A8" t="s">
        <v>28</v>
      </c>
      <c r="B8">
        <v>2</v>
      </c>
      <c r="C8">
        <v>2</v>
      </c>
      <c r="D8" t="s">
        <v>37</v>
      </c>
      <c r="E8">
        <v>0</v>
      </c>
      <c r="F8">
        <v>6</v>
      </c>
      <c r="G8">
        <v>7</v>
      </c>
      <c r="H8">
        <v>0</v>
      </c>
      <c r="I8">
        <v>6</v>
      </c>
      <c r="J8">
        <v>0</v>
      </c>
      <c r="K8">
        <v>19</v>
      </c>
      <c r="L8">
        <v>19</v>
      </c>
      <c r="M8">
        <v>13</v>
      </c>
      <c r="N8">
        <v>12</v>
      </c>
      <c r="O8">
        <v>12</v>
      </c>
      <c r="P8">
        <v>13</v>
      </c>
    </row>
    <row r="9" spans="1:1024" x14ac:dyDescent="0.2">
      <c r="A9" t="s">
        <v>30</v>
      </c>
      <c r="B9">
        <v>2</v>
      </c>
      <c r="C9">
        <v>2</v>
      </c>
      <c r="D9" t="s">
        <v>38</v>
      </c>
      <c r="E9">
        <v>2</v>
      </c>
      <c r="F9">
        <v>12</v>
      </c>
      <c r="G9">
        <v>9</v>
      </c>
      <c r="H9">
        <v>0</v>
      </c>
      <c r="I9">
        <v>5</v>
      </c>
      <c r="J9">
        <v>0</v>
      </c>
      <c r="K9">
        <v>28</v>
      </c>
      <c r="L9">
        <v>26</v>
      </c>
      <c r="M9">
        <v>14</v>
      </c>
      <c r="N9">
        <v>9</v>
      </c>
      <c r="O9">
        <v>10</v>
      </c>
      <c r="P9">
        <v>11</v>
      </c>
    </row>
    <row r="10" spans="1:1024" x14ac:dyDescent="0.2">
      <c r="A10" t="s">
        <v>26</v>
      </c>
      <c r="B10">
        <v>3</v>
      </c>
      <c r="C10">
        <v>3</v>
      </c>
      <c r="D10" t="s">
        <v>41</v>
      </c>
      <c r="E10">
        <v>0</v>
      </c>
      <c r="F10">
        <v>12</v>
      </c>
      <c r="G10">
        <v>9</v>
      </c>
      <c r="H10">
        <v>0</v>
      </c>
      <c r="I10">
        <v>7</v>
      </c>
      <c r="J10" s="15">
        <v>1</v>
      </c>
      <c r="K10">
        <v>28</v>
      </c>
      <c r="L10">
        <v>28</v>
      </c>
      <c r="M10">
        <v>16</v>
      </c>
      <c r="N10">
        <v>9</v>
      </c>
      <c r="O10">
        <v>8</v>
      </c>
      <c r="P10">
        <v>8</v>
      </c>
      <c r="Q10">
        <v>8</v>
      </c>
      <c r="R10">
        <v>7.6666666666666696</v>
      </c>
      <c r="S10">
        <v>7</v>
      </c>
    </row>
    <row r="11" spans="1:1024" x14ac:dyDescent="0.2">
      <c r="A11" t="s">
        <v>28</v>
      </c>
      <c r="B11">
        <v>3</v>
      </c>
      <c r="C11">
        <v>3</v>
      </c>
      <c r="D11" t="s">
        <v>42</v>
      </c>
      <c r="E11">
        <v>0</v>
      </c>
      <c r="F11">
        <v>10</v>
      </c>
      <c r="G11">
        <v>10</v>
      </c>
      <c r="H11">
        <v>0</v>
      </c>
      <c r="I11">
        <v>10</v>
      </c>
      <c r="J11" s="15">
        <v>1</v>
      </c>
      <c r="K11">
        <v>30</v>
      </c>
      <c r="L11">
        <v>30</v>
      </c>
      <c r="M11">
        <v>20</v>
      </c>
      <c r="N11">
        <v>7</v>
      </c>
      <c r="O11">
        <v>7</v>
      </c>
      <c r="P11">
        <v>5</v>
      </c>
    </row>
    <row r="12" spans="1:1024" x14ac:dyDescent="0.2">
      <c r="A12" t="s">
        <v>30</v>
      </c>
      <c r="B12">
        <v>3</v>
      </c>
      <c r="C12">
        <v>3</v>
      </c>
      <c r="D12" t="s">
        <v>43</v>
      </c>
      <c r="E12">
        <v>1</v>
      </c>
      <c r="F12">
        <v>12</v>
      </c>
      <c r="G12">
        <v>10</v>
      </c>
      <c r="H12">
        <v>0</v>
      </c>
      <c r="I12">
        <v>6</v>
      </c>
      <c r="J12">
        <v>0</v>
      </c>
      <c r="K12">
        <v>29</v>
      </c>
      <c r="L12">
        <v>28</v>
      </c>
      <c r="M12">
        <v>16</v>
      </c>
      <c r="N12">
        <v>8</v>
      </c>
      <c r="O12">
        <v>8</v>
      </c>
      <c r="P12">
        <v>8</v>
      </c>
    </row>
    <row r="13" spans="1:1024" x14ac:dyDescent="0.2">
      <c r="A13" t="s">
        <v>26</v>
      </c>
      <c r="B13">
        <v>4</v>
      </c>
      <c r="C13">
        <v>4</v>
      </c>
      <c r="D13" t="s">
        <v>46</v>
      </c>
      <c r="E13">
        <v>3</v>
      </c>
      <c r="F13">
        <v>10</v>
      </c>
      <c r="G13">
        <v>14</v>
      </c>
      <c r="H13">
        <v>2</v>
      </c>
      <c r="I13">
        <v>20</v>
      </c>
      <c r="J13">
        <v>0</v>
      </c>
      <c r="K13">
        <v>49</v>
      </c>
      <c r="L13">
        <v>46</v>
      </c>
      <c r="M13">
        <v>36</v>
      </c>
      <c r="N13">
        <v>2</v>
      </c>
      <c r="O13">
        <v>2</v>
      </c>
      <c r="P13">
        <v>2</v>
      </c>
      <c r="Q13">
        <v>2.6666666666666701</v>
      </c>
      <c r="R13">
        <v>2.6666666666666701</v>
      </c>
      <c r="S13">
        <v>3.6666666666666701</v>
      </c>
    </row>
    <row r="14" spans="1:1024" x14ac:dyDescent="0.2">
      <c r="A14" t="s">
        <v>28</v>
      </c>
      <c r="B14">
        <v>4</v>
      </c>
      <c r="C14">
        <v>4</v>
      </c>
      <c r="D14" t="s">
        <v>47</v>
      </c>
      <c r="E14">
        <v>1</v>
      </c>
      <c r="F14">
        <v>19</v>
      </c>
      <c r="G14">
        <v>9</v>
      </c>
      <c r="H14">
        <v>0</v>
      </c>
      <c r="I14">
        <v>7</v>
      </c>
      <c r="J14" s="15">
        <v>3</v>
      </c>
      <c r="K14">
        <v>36</v>
      </c>
      <c r="L14">
        <v>35</v>
      </c>
      <c r="M14">
        <v>16</v>
      </c>
      <c r="N14">
        <v>5</v>
      </c>
      <c r="O14">
        <v>5</v>
      </c>
      <c r="P14">
        <v>8</v>
      </c>
    </row>
    <row r="15" spans="1:1024" x14ac:dyDescent="0.2">
      <c r="A15" t="s">
        <v>30</v>
      </c>
      <c r="B15">
        <v>4</v>
      </c>
      <c r="C15">
        <v>4</v>
      </c>
      <c r="D15" t="s">
        <v>48</v>
      </c>
      <c r="E15">
        <v>6</v>
      </c>
      <c r="F15">
        <v>14</v>
      </c>
      <c r="G15">
        <v>10</v>
      </c>
      <c r="H15">
        <v>2</v>
      </c>
      <c r="I15">
        <v>28</v>
      </c>
      <c r="J15">
        <v>0</v>
      </c>
      <c r="K15">
        <v>60</v>
      </c>
      <c r="L15">
        <v>54</v>
      </c>
      <c r="M15">
        <v>40</v>
      </c>
      <c r="N15">
        <v>1</v>
      </c>
      <c r="O15">
        <v>1</v>
      </c>
      <c r="P15">
        <v>1</v>
      </c>
    </row>
    <row r="16" spans="1:1024" x14ac:dyDescent="0.2">
      <c r="A16" t="s">
        <v>26</v>
      </c>
      <c r="B16">
        <v>0</v>
      </c>
      <c r="C16">
        <v>5</v>
      </c>
      <c r="D16" t="s">
        <v>51</v>
      </c>
      <c r="E16">
        <v>2</v>
      </c>
      <c r="F16">
        <v>17</v>
      </c>
      <c r="G16">
        <v>13</v>
      </c>
      <c r="H16">
        <v>2</v>
      </c>
      <c r="I16">
        <v>12</v>
      </c>
      <c r="J16">
        <v>0</v>
      </c>
      <c r="K16">
        <v>46</v>
      </c>
      <c r="L16">
        <v>44</v>
      </c>
      <c r="M16">
        <v>27</v>
      </c>
      <c r="N16">
        <v>3</v>
      </c>
      <c r="O16">
        <v>3</v>
      </c>
      <c r="P16">
        <v>3</v>
      </c>
      <c r="Q16">
        <v>4.3333333333333304</v>
      </c>
      <c r="R16">
        <v>4.3333333333333304</v>
      </c>
      <c r="S16">
        <v>4.6666666666666696</v>
      </c>
    </row>
    <row r="17" spans="1:16" x14ac:dyDescent="0.2">
      <c r="A17" t="s">
        <v>28</v>
      </c>
      <c r="B17">
        <v>0</v>
      </c>
      <c r="C17">
        <v>5</v>
      </c>
      <c r="D17" t="s">
        <v>52</v>
      </c>
      <c r="E17">
        <v>0</v>
      </c>
      <c r="F17">
        <v>19</v>
      </c>
      <c r="G17">
        <v>18</v>
      </c>
      <c r="H17">
        <v>1</v>
      </c>
      <c r="I17">
        <v>5</v>
      </c>
      <c r="J17" s="15">
        <v>1</v>
      </c>
      <c r="K17">
        <v>43</v>
      </c>
      <c r="L17">
        <v>43</v>
      </c>
      <c r="M17">
        <v>24</v>
      </c>
      <c r="N17">
        <v>4</v>
      </c>
      <c r="O17">
        <v>4</v>
      </c>
      <c r="P17">
        <v>4</v>
      </c>
    </row>
    <row r="18" spans="1:16" x14ac:dyDescent="0.2">
      <c r="A18" t="s">
        <v>30</v>
      </c>
      <c r="B18">
        <v>0</v>
      </c>
      <c r="C18">
        <v>5</v>
      </c>
      <c r="D18" t="s">
        <v>53</v>
      </c>
      <c r="E18">
        <v>0</v>
      </c>
      <c r="F18">
        <v>13</v>
      </c>
      <c r="G18">
        <v>4</v>
      </c>
      <c r="H18">
        <v>0</v>
      </c>
      <c r="I18">
        <v>14</v>
      </c>
      <c r="J18" s="15">
        <v>2</v>
      </c>
      <c r="K18">
        <v>31</v>
      </c>
      <c r="L18">
        <v>31</v>
      </c>
      <c r="M18">
        <v>18</v>
      </c>
      <c r="N18">
        <v>6</v>
      </c>
      <c r="O18">
        <v>6</v>
      </c>
      <c r="P18">
        <v>7</v>
      </c>
    </row>
    <row r="19" spans="1:16" x14ac:dyDescent="0.2">
      <c r="C19" t="s">
        <v>56</v>
      </c>
      <c r="E19">
        <v>27</v>
      </c>
      <c r="F19">
        <v>281</v>
      </c>
      <c r="G19">
        <v>215</v>
      </c>
      <c r="H19">
        <v>12</v>
      </c>
      <c r="I19">
        <v>244</v>
      </c>
      <c r="J19">
        <v>14</v>
      </c>
      <c r="K19">
        <v>779</v>
      </c>
      <c r="L19">
        <v>752</v>
      </c>
      <c r="M19">
        <v>471</v>
      </c>
    </row>
  </sheetData>
  <mergeCells count="5">
    <mergeCell ref="A1:A2"/>
    <mergeCell ref="B1:B2"/>
    <mergeCell ref="C1:C2"/>
    <mergeCell ref="D1:D2"/>
    <mergeCell ref="E1:I1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All_TRT</vt:lpstr>
      <vt:lpstr>ABC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showalt_d</cp:lastModifiedBy>
  <cp:revision>13</cp:revision>
  <dcterms:created xsi:type="dcterms:W3CDTF">2022-03-17T10:44:19Z</dcterms:created>
  <dcterms:modified xsi:type="dcterms:W3CDTF">2022-03-22T19:48:58Z</dcterms:modified>
  <dc:language>en-US</dc:language>
</cp:coreProperties>
</file>