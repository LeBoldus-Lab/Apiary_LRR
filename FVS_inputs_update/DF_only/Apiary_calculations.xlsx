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13_ncr:1_{D5112A3F-7CD5-45C9-BBFE-6C99C5AFCFA1}" xr6:coauthVersionLast="47" xr6:coauthVersionMax="47" xr10:uidLastSave="{00000000-0000-0000-0000-000000000000}"/>
  <bookViews>
    <workbookView xWindow="-28920" yWindow="-120" windowWidth="29040" windowHeight="15990" activeTab="2" xr2:uid="{B1C9DA17-38D3-4F46-9BB0-C0E2D53E7F39}"/>
  </bookViews>
  <sheets>
    <sheet name="ACTUAL" sheetId="3" r:id="rId1"/>
    <sheet name="FVS" sheetId="1" r:id="rId2"/>
    <sheet name="WRD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H23" i="3"/>
  <c r="H22" i="3"/>
  <c r="I22" i="3"/>
  <c r="I24" i="3"/>
  <c r="I23" i="3"/>
  <c r="H20" i="2"/>
  <c r="H19" i="2"/>
  <c r="H18" i="2"/>
  <c r="H16" i="2"/>
  <c r="H15" i="2"/>
  <c r="H14" i="2"/>
  <c r="H12" i="2"/>
  <c r="H11" i="2"/>
  <c r="H10" i="2"/>
  <c r="H8" i="2"/>
  <c r="H7" i="2"/>
  <c r="H6" i="2"/>
  <c r="H4" i="2"/>
  <c r="I24" i="2" s="1"/>
  <c r="H3" i="2"/>
  <c r="I23" i="2" s="1"/>
  <c r="H2" i="2"/>
  <c r="I22" i="2"/>
  <c r="H24" i="2"/>
  <c r="H23" i="2"/>
  <c r="H22" i="2"/>
  <c r="G23" i="2"/>
  <c r="G24" i="2"/>
  <c r="G22" i="2"/>
  <c r="I24" i="1"/>
  <c r="I23" i="1"/>
  <c r="I22" i="1"/>
  <c r="H3" i="1"/>
  <c r="H20" i="1"/>
  <c r="H19" i="1"/>
  <c r="H18" i="1"/>
  <c r="H16" i="1"/>
  <c r="H15" i="1"/>
  <c r="H14" i="1"/>
  <c r="H12" i="1"/>
  <c r="H11" i="1"/>
  <c r="H10" i="1"/>
  <c r="H8" i="1"/>
  <c r="H7" i="1"/>
  <c r="H6" i="1"/>
  <c r="H4" i="1"/>
  <c r="H2" i="1"/>
  <c r="G24" i="1"/>
  <c r="H24" i="1" s="1"/>
  <c r="G23" i="1"/>
  <c r="H23" i="1" s="1"/>
  <c r="G22" i="1"/>
  <c r="H22" i="1" s="1"/>
</calcChain>
</file>

<file path=xl/sharedStrings.xml><?xml version="1.0" encoding="utf-8"?>
<sst xmlns="http://schemas.openxmlformats.org/spreadsheetml/2006/main" count="226" uniqueCount="43">
  <si>
    <t>MgmtID</t>
  </si>
  <si>
    <t>StandID</t>
  </si>
  <si>
    <t>Year</t>
  </si>
  <si>
    <t>Age</t>
  </si>
  <si>
    <t>Tpa</t>
  </si>
  <si>
    <t>TPrdTpa</t>
  </si>
  <si>
    <t>SDI</t>
  </si>
  <si>
    <t>CCF</t>
  </si>
  <si>
    <t>TopHt</t>
  </si>
  <si>
    <t>QMD</t>
  </si>
  <si>
    <t>TCuFt</t>
  </si>
  <si>
    <t>TPrdTCuFt</t>
  </si>
  <si>
    <t>MCuFt</t>
  </si>
  <si>
    <t>TPrdMCuFt</t>
  </si>
  <si>
    <t>BdFt</t>
  </si>
  <si>
    <t>TPrdBdFt</t>
  </si>
  <si>
    <t>RTpa</t>
  </si>
  <si>
    <t>RTCuFt</t>
  </si>
  <si>
    <t>RMCuFt</t>
  </si>
  <si>
    <t>RBdFt</t>
  </si>
  <si>
    <t>RunTitle</t>
  </si>
  <si>
    <t>A066</t>
  </si>
  <si>
    <t>3011</t>
  </si>
  <si>
    <t>1987</t>
  </si>
  <si>
    <t>AP_TMT3_STAND1</t>
  </si>
  <si>
    <t>2011</t>
  </si>
  <si>
    <t>2020</t>
  </si>
  <si>
    <t>A067</t>
  </si>
  <si>
    <t>3022</t>
  </si>
  <si>
    <t>AP_TMT3_STAND2</t>
  </si>
  <si>
    <t>A068</t>
  </si>
  <si>
    <t>3033</t>
  </si>
  <si>
    <t>AP_TMT3_STAND3</t>
  </si>
  <si>
    <t>A069</t>
  </si>
  <si>
    <t>3044</t>
  </si>
  <si>
    <t>AP_TMT3_STAND4</t>
  </si>
  <si>
    <t>A070</t>
  </si>
  <si>
    <t>3055</t>
  </si>
  <si>
    <t>AP_TMT3_STAND5</t>
  </si>
  <si>
    <t>SE</t>
  </si>
  <si>
    <t>TOTAL MEAN</t>
  </si>
  <si>
    <t>BA_fpa</t>
  </si>
  <si>
    <t>BA_mpha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</si>
</sst>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66DC-E047-44B7-8F0C-BC8BE3B2E2BF}">
  <dimension ref="A1:I24"/>
  <sheetViews>
    <sheetView workbookViewId="0">
      <selection activeCell="C40" sqref="C40"/>
    </sheetView>
  </sheetViews>
  <sheetFormatPr defaultRowHeight="14.5" x14ac:dyDescent="0.35"/>
  <sheetData>
    <row r="1" spans="1:9" x14ac:dyDescent="0.35">
      <c r="H1" t="s">
        <v>42</v>
      </c>
      <c r="I1" t="s">
        <v>39</v>
      </c>
    </row>
    <row r="2" spans="1:9" x14ac:dyDescent="0.35">
      <c r="A2" t="s">
        <v>21</v>
      </c>
      <c r="B2" t="s">
        <v>22</v>
      </c>
      <c r="C2" t="s">
        <v>23</v>
      </c>
      <c r="H2">
        <v>7.5538668573658896</v>
      </c>
    </row>
    <row r="3" spans="1:9" x14ac:dyDescent="0.35">
      <c r="A3" t="s">
        <v>21</v>
      </c>
      <c r="B3" t="s">
        <v>22</v>
      </c>
      <c r="C3" t="s">
        <v>25</v>
      </c>
      <c r="H3">
        <v>48.089925597595098</v>
      </c>
    </row>
    <row r="4" spans="1:9" x14ac:dyDescent="0.35">
      <c r="A4" t="s">
        <v>21</v>
      </c>
      <c r="B4" t="s">
        <v>22</v>
      </c>
      <c r="C4" t="s">
        <v>26</v>
      </c>
      <c r="H4">
        <v>51.159201758105503</v>
      </c>
    </row>
    <row r="6" spans="1:9" x14ac:dyDescent="0.35">
      <c r="A6" t="s">
        <v>27</v>
      </c>
      <c r="B6" t="s">
        <v>28</v>
      </c>
      <c r="C6" t="s">
        <v>23</v>
      </c>
      <c r="H6">
        <v>7.4730367568928502</v>
      </c>
    </row>
    <row r="7" spans="1:9" x14ac:dyDescent="0.35">
      <c r="A7" t="s">
        <v>27</v>
      </c>
      <c r="B7" t="s">
        <v>28</v>
      </c>
      <c r="C7" t="s">
        <v>25</v>
      </c>
      <c r="H7">
        <v>43.162910042609901</v>
      </c>
    </row>
    <row r="8" spans="1:9" x14ac:dyDescent="0.35">
      <c r="A8" t="s">
        <v>27</v>
      </c>
      <c r="B8" t="s">
        <v>28</v>
      </c>
      <c r="C8" t="s">
        <v>26</v>
      </c>
      <c r="H8">
        <v>50.217661601623497</v>
      </c>
    </row>
    <row r="10" spans="1:9" x14ac:dyDescent="0.35">
      <c r="A10" t="s">
        <v>30</v>
      </c>
      <c r="B10" t="s">
        <v>31</v>
      </c>
      <c r="C10" t="s">
        <v>23</v>
      </c>
      <c r="H10">
        <v>7.3204808292640298</v>
      </c>
    </row>
    <row r="11" spans="1:9" x14ac:dyDescent="0.35">
      <c r="A11" t="s">
        <v>30</v>
      </c>
      <c r="B11" t="s">
        <v>31</v>
      </c>
      <c r="C11" t="s">
        <v>25</v>
      </c>
      <c r="H11">
        <v>51.988966623827302</v>
      </c>
    </row>
    <row r="12" spans="1:9" x14ac:dyDescent="0.35">
      <c r="A12" t="s">
        <v>30</v>
      </c>
      <c r="B12" t="s">
        <v>31</v>
      </c>
      <c r="C12" t="s">
        <v>26</v>
      </c>
      <c r="H12">
        <v>58.618216634913601</v>
      </c>
    </row>
    <row r="14" spans="1:9" x14ac:dyDescent="0.35">
      <c r="A14" t="s">
        <v>33</v>
      </c>
      <c r="B14" t="s">
        <v>34</v>
      </c>
      <c r="C14" t="s">
        <v>23</v>
      </c>
      <c r="H14">
        <v>10.2117311871617</v>
      </c>
    </row>
    <row r="15" spans="1:9" x14ac:dyDescent="0.35">
      <c r="A15" t="s">
        <v>33</v>
      </c>
      <c r="B15" t="s">
        <v>34</v>
      </c>
      <c r="C15" t="s">
        <v>25</v>
      </c>
      <c r="H15">
        <v>43.276901274154</v>
      </c>
    </row>
    <row r="16" spans="1:9" x14ac:dyDescent="0.35">
      <c r="A16" t="s">
        <v>33</v>
      </c>
      <c r="B16" t="s">
        <v>34</v>
      </c>
      <c r="C16" t="s">
        <v>26</v>
      </c>
      <c r="H16">
        <v>38.888507957683601</v>
      </c>
    </row>
    <row r="18" spans="1:9" x14ac:dyDescent="0.35">
      <c r="A18" t="s">
        <v>36</v>
      </c>
      <c r="B18" t="s">
        <v>37</v>
      </c>
      <c r="C18" t="s">
        <v>23</v>
      </c>
      <c r="H18">
        <v>7.8490175017088504</v>
      </c>
    </row>
    <row r="19" spans="1:9" x14ac:dyDescent="0.35">
      <c r="A19" t="s">
        <v>36</v>
      </c>
      <c r="B19" t="s">
        <v>37</v>
      </c>
      <c r="C19" t="s">
        <v>25</v>
      </c>
      <c r="H19">
        <v>33.3567091725889</v>
      </c>
    </row>
    <row r="20" spans="1:9" x14ac:dyDescent="0.35">
      <c r="A20" t="s">
        <v>36</v>
      </c>
      <c r="B20" t="s">
        <v>37</v>
      </c>
      <c r="C20" t="s">
        <v>26</v>
      </c>
      <c r="H20">
        <v>33.143137309778197</v>
      </c>
    </row>
    <row r="22" spans="1:9" x14ac:dyDescent="0.35">
      <c r="A22" t="s">
        <v>40</v>
      </c>
      <c r="C22" t="s">
        <v>23</v>
      </c>
      <c r="H22">
        <f>AVERAGE(H2,H6,H10,H14,H18)</f>
        <v>8.0816266264786645</v>
      </c>
      <c r="I22">
        <f>STDEV(H2,H6,H10,H14,H18)/SQRT(COUNT(H2,H6,H10,H14,H18))</f>
        <v>0.5394305966592321</v>
      </c>
    </row>
    <row r="23" spans="1:9" x14ac:dyDescent="0.35">
      <c r="C23" t="s">
        <v>25</v>
      </c>
      <c r="H23">
        <f>AVERAGE(H3,H7,H11,H15,H19)</f>
        <v>43.975082542155043</v>
      </c>
      <c r="I23">
        <f>STDEV(H3,H7,H11,H15,H19)/SQRT(COUNT(H3,H7,H11,H15,H19))</f>
        <v>3.1229089461021746</v>
      </c>
    </row>
    <row r="24" spans="1:9" x14ac:dyDescent="0.35">
      <c r="C24" t="s">
        <v>26</v>
      </c>
      <c r="H24">
        <f>AVERAGE(H4,H8,H12,H16,H20)</f>
        <v>46.405345052420877</v>
      </c>
      <c r="I24">
        <f>STDEV(H4,H8,H12,H16,H20)/SQRT(COUNT(H4,H8,H12,H16,H20))</f>
        <v>4.5753477324559517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DD72-5A8A-42BC-81D1-7152041957E2}">
  <dimension ref="A1:X24"/>
  <sheetViews>
    <sheetView workbookViewId="0">
      <selection activeCell="G29" sqref="G29"/>
    </sheetView>
  </sheetViews>
  <sheetFormatPr defaultRowHeight="14.5" x14ac:dyDescent="0.35"/>
  <cols>
    <col min="1" max="1" width="14.54296875" customWidth="1"/>
    <col min="8" max="8" width="15.269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  <c r="H1" t="s">
        <v>42</v>
      </c>
      <c r="I1" t="s">
        <v>39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35">
      <c r="A2" t="s">
        <v>21</v>
      </c>
      <c r="B2" t="s">
        <v>22</v>
      </c>
      <c r="C2" t="s">
        <v>23</v>
      </c>
      <c r="D2">
        <v>0</v>
      </c>
      <c r="E2">
        <v>716</v>
      </c>
      <c r="F2">
        <v>716</v>
      </c>
      <c r="G2">
        <v>32.904544830322301</v>
      </c>
      <c r="H2">
        <f>G2/4.356</f>
        <v>7.5538440840960286</v>
      </c>
      <c r="J2">
        <v>98</v>
      </c>
      <c r="K2">
        <v>107</v>
      </c>
      <c r="L2">
        <v>33</v>
      </c>
      <c r="M2">
        <v>2.9027373790740998</v>
      </c>
      <c r="N2">
        <v>342.09484863281199</v>
      </c>
      <c r="O2">
        <v>342.09484863281199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24</v>
      </c>
    </row>
    <row r="3" spans="1:24" x14ac:dyDescent="0.35">
      <c r="A3" t="s">
        <v>21</v>
      </c>
      <c r="B3" t="s">
        <v>22</v>
      </c>
      <c r="C3" t="s">
        <v>25</v>
      </c>
      <c r="D3">
        <v>24</v>
      </c>
      <c r="E3">
        <v>584.100341796875</v>
      </c>
      <c r="F3">
        <v>584.100341796875</v>
      </c>
      <c r="G3">
        <v>276.88174438476602</v>
      </c>
      <c r="H3">
        <f>G3/4.356</f>
        <v>63.563302200359509</v>
      </c>
      <c r="J3">
        <v>522</v>
      </c>
      <c r="K3">
        <v>399</v>
      </c>
      <c r="L3">
        <v>83</v>
      </c>
      <c r="M3">
        <v>9.3226575851440394</v>
      </c>
      <c r="N3">
        <v>8154.5947265625</v>
      </c>
      <c r="O3">
        <v>8154.5947265625</v>
      </c>
      <c r="P3">
        <v>6821.27001953125</v>
      </c>
      <c r="Q3">
        <v>6821.27001953125</v>
      </c>
      <c r="R3">
        <v>36181.4765625</v>
      </c>
      <c r="S3">
        <v>36181.4765625</v>
      </c>
      <c r="T3">
        <v>0</v>
      </c>
      <c r="U3">
        <v>0</v>
      </c>
      <c r="V3">
        <v>0</v>
      </c>
      <c r="W3">
        <v>0</v>
      </c>
      <c r="X3" t="s">
        <v>24</v>
      </c>
    </row>
    <row r="4" spans="1:24" x14ac:dyDescent="0.35">
      <c r="A4" t="s">
        <v>21</v>
      </c>
      <c r="B4" t="s">
        <v>22</v>
      </c>
      <c r="C4" t="s">
        <v>26</v>
      </c>
      <c r="D4">
        <v>33</v>
      </c>
      <c r="E4">
        <v>519.00732421875</v>
      </c>
      <c r="F4">
        <v>519.00732421875</v>
      </c>
      <c r="G4">
        <v>373.872802734375</v>
      </c>
      <c r="H4">
        <f>G4/4.356</f>
        <v>85.829385384383613</v>
      </c>
      <c r="J4">
        <v>649</v>
      </c>
      <c r="K4">
        <v>493</v>
      </c>
      <c r="L4">
        <v>96</v>
      </c>
      <c r="M4">
        <v>11.4924125671387</v>
      </c>
      <c r="N4">
        <v>12508.966796875</v>
      </c>
      <c r="O4">
        <v>12508.966796875</v>
      </c>
      <c r="P4">
        <v>11501.98828125</v>
      </c>
      <c r="Q4">
        <v>11501.98828125</v>
      </c>
      <c r="R4">
        <v>61742.0625</v>
      </c>
      <c r="S4">
        <v>61742.0625</v>
      </c>
      <c r="T4">
        <v>0</v>
      </c>
      <c r="U4">
        <v>0</v>
      </c>
      <c r="V4">
        <v>0</v>
      </c>
      <c r="W4">
        <v>0</v>
      </c>
      <c r="X4" t="s">
        <v>24</v>
      </c>
    </row>
    <row r="6" spans="1:24" x14ac:dyDescent="0.35">
      <c r="A6" t="s">
        <v>27</v>
      </c>
      <c r="B6" t="s">
        <v>28</v>
      </c>
      <c r="C6" t="s">
        <v>23</v>
      </c>
      <c r="D6">
        <v>0</v>
      </c>
      <c r="E6">
        <v>684</v>
      </c>
      <c r="F6">
        <v>684</v>
      </c>
      <c r="G6">
        <v>32.552436828613303</v>
      </c>
      <c r="H6">
        <f>G6/4.356</f>
        <v>7.4730112095071863</v>
      </c>
      <c r="J6">
        <v>97</v>
      </c>
      <c r="K6">
        <v>104</v>
      </c>
      <c r="L6">
        <v>34</v>
      </c>
      <c r="M6">
        <v>2.95392870903015</v>
      </c>
      <c r="N6">
        <v>346.19210815429699</v>
      </c>
      <c r="O6">
        <v>346.19210815429699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29</v>
      </c>
    </row>
    <row r="7" spans="1:24" x14ac:dyDescent="0.35">
      <c r="A7" t="s">
        <v>27</v>
      </c>
      <c r="B7" t="s">
        <v>28</v>
      </c>
      <c r="C7" t="s">
        <v>25</v>
      </c>
      <c r="D7">
        <v>24</v>
      </c>
      <c r="E7">
        <v>562.83746337890602</v>
      </c>
      <c r="F7">
        <v>562.83746337890602</v>
      </c>
      <c r="G7">
        <v>282.59967041015602</v>
      </c>
      <c r="H7">
        <f>G7/4.356</f>
        <v>64.875957394434351</v>
      </c>
      <c r="J7">
        <v>527</v>
      </c>
      <c r="K7">
        <v>403</v>
      </c>
      <c r="L7">
        <v>83</v>
      </c>
      <c r="M7">
        <v>9.5946836471557599</v>
      </c>
      <c r="N7">
        <v>8435.9423828125</v>
      </c>
      <c r="O7">
        <v>8435.9423828125</v>
      </c>
      <c r="P7">
        <v>7209.84619140625</v>
      </c>
      <c r="Q7">
        <v>7209.84619140625</v>
      </c>
      <c r="R7">
        <v>38165.359375</v>
      </c>
      <c r="S7">
        <v>38165.359375</v>
      </c>
      <c r="T7">
        <v>0</v>
      </c>
      <c r="U7">
        <v>0</v>
      </c>
      <c r="V7">
        <v>0</v>
      </c>
      <c r="W7">
        <v>0</v>
      </c>
      <c r="X7" t="s">
        <v>29</v>
      </c>
    </row>
    <row r="8" spans="1:24" x14ac:dyDescent="0.35">
      <c r="A8" t="s">
        <v>27</v>
      </c>
      <c r="B8" t="s">
        <v>28</v>
      </c>
      <c r="C8" t="s">
        <v>26</v>
      </c>
      <c r="D8">
        <v>33</v>
      </c>
      <c r="E8">
        <v>501.90490722656199</v>
      </c>
      <c r="F8">
        <v>501.90490722656199</v>
      </c>
      <c r="G8">
        <v>377.71099853515602</v>
      </c>
      <c r="H8">
        <f>G8/4.356</f>
        <v>86.710513896959597</v>
      </c>
      <c r="J8">
        <v>650</v>
      </c>
      <c r="K8">
        <v>495</v>
      </c>
      <c r="L8">
        <v>96</v>
      </c>
      <c r="M8">
        <v>11.7464151382446</v>
      </c>
      <c r="N8">
        <v>12806.24609375</v>
      </c>
      <c r="O8">
        <v>12806.24609375</v>
      </c>
      <c r="P8">
        <v>11853.5615234375</v>
      </c>
      <c r="Q8">
        <v>11853.5615234375</v>
      </c>
      <c r="R8">
        <v>63452.171875</v>
      </c>
      <c r="S8">
        <v>63452.171875</v>
      </c>
      <c r="T8">
        <v>0</v>
      </c>
      <c r="U8">
        <v>0</v>
      </c>
      <c r="V8">
        <v>0</v>
      </c>
      <c r="W8">
        <v>0</v>
      </c>
      <c r="X8" t="s">
        <v>29</v>
      </c>
    </row>
    <row r="10" spans="1:24" x14ac:dyDescent="0.35">
      <c r="A10" t="s">
        <v>30</v>
      </c>
      <c r="B10" t="s">
        <v>31</v>
      </c>
      <c r="C10" t="s">
        <v>23</v>
      </c>
      <c r="D10">
        <v>0</v>
      </c>
      <c r="E10">
        <v>596</v>
      </c>
      <c r="F10">
        <v>596</v>
      </c>
      <c r="G10">
        <v>31.887914657592798</v>
      </c>
      <c r="H10">
        <f>G10/4.356</f>
        <v>7.3204579103748388</v>
      </c>
      <c r="J10">
        <v>92</v>
      </c>
      <c r="K10">
        <v>97</v>
      </c>
      <c r="L10">
        <v>34</v>
      </c>
      <c r="M10">
        <v>3.1320331096649201</v>
      </c>
      <c r="N10">
        <v>347.98818969726602</v>
      </c>
      <c r="O10">
        <v>347.98818969726602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32</v>
      </c>
    </row>
    <row r="11" spans="1:24" x14ac:dyDescent="0.35">
      <c r="A11" t="s">
        <v>30</v>
      </c>
      <c r="B11" t="s">
        <v>31</v>
      </c>
      <c r="C11" t="s">
        <v>25</v>
      </c>
      <c r="D11">
        <v>24</v>
      </c>
      <c r="E11">
        <v>494.90704345703102</v>
      </c>
      <c r="F11">
        <v>494.90704345703102</v>
      </c>
      <c r="G11">
        <v>260.74697875976602</v>
      </c>
      <c r="H11">
        <f>G11/4.356</f>
        <v>59.859269687733246</v>
      </c>
      <c r="J11">
        <v>481</v>
      </c>
      <c r="K11">
        <v>368</v>
      </c>
      <c r="L11">
        <v>85</v>
      </c>
      <c r="M11">
        <v>9.82843017578125</v>
      </c>
      <c r="N11">
        <v>7794.24169921875</v>
      </c>
      <c r="O11">
        <v>7794.24169921875</v>
      </c>
      <c r="P11">
        <v>6728.19091796875</v>
      </c>
      <c r="Q11">
        <v>6728.19091796875</v>
      </c>
      <c r="R11">
        <v>35453.8125</v>
      </c>
      <c r="S11">
        <v>35453.8125</v>
      </c>
      <c r="T11">
        <v>0</v>
      </c>
      <c r="U11">
        <v>0</v>
      </c>
      <c r="V11">
        <v>0</v>
      </c>
      <c r="W11">
        <v>0</v>
      </c>
      <c r="X11" t="s">
        <v>32</v>
      </c>
    </row>
    <row r="12" spans="1:24" x14ac:dyDescent="0.35">
      <c r="A12" t="s">
        <v>30</v>
      </c>
      <c r="B12" t="s">
        <v>31</v>
      </c>
      <c r="C12" t="s">
        <v>26</v>
      </c>
      <c r="D12">
        <v>33</v>
      </c>
      <c r="E12">
        <v>449.37969970703102</v>
      </c>
      <c r="F12">
        <v>449.37969970703102</v>
      </c>
      <c r="G12">
        <v>358.53201293945301</v>
      </c>
      <c r="H12">
        <f>G12/4.356</f>
        <v>82.307624641747708</v>
      </c>
      <c r="J12">
        <v>610</v>
      </c>
      <c r="K12">
        <v>464</v>
      </c>
      <c r="L12">
        <v>96</v>
      </c>
      <c r="M12">
        <v>12.0946617126465</v>
      </c>
      <c r="N12">
        <v>12251.0947265625</v>
      </c>
      <c r="O12">
        <v>12251.0947265625</v>
      </c>
      <c r="P12">
        <v>11395.6259765625</v>
      </c>
      <c r="Q12">
        <v>11395.6259765625</v>
      </c>
      <c r="R12">
        <v>61142.15234375</v>
      </c>
      <c r="S12">
        <v>61142.15234375</v>
      </c>
      <c r="T12">
        <v>0</v>
      </c>
      <c r="U12">
        <v>0</v>
      </c>
      <c r="V12">
        <v>0</v>
      </c>
      <c r="W12">
        <v>0</v>
      </c>
      <c r="X12" t="s">
        <v>32</v>
      </c>
    </row>
    <row r="14" spans="1:24" x14ac:dyDescent="0.35">
      <c r="A14" t="s">
        <v>33</v>
      </c>
      <c r="B14" t="s">
        <v>34</v>
      </c>
      <c r="C14" t="s">
        <v>23</v>
      </c>
      <c r="D14">
        <v>0</v>
      </c>
      <c r="E14">
        <v>560</v>
      </c>
      <c r="F14">
        <v>560</v>
      </c>
      <c r="G14">
        <v>44.482151031494098</v>
      </c>
      <c r="H14">
        <f>G14/4.356</f>
        <v>10.211696747358609</v>
      </c>
      <c r="J14">
        <v>119</v>
      </c>
      <c r="K14">
        <v>115</v>
      </c>
      <c r="L14">
        <v>37</v>
      </c>
      <c r="M14">
        <v>3.8162360191345202</v>
      </c>
      <c r="N14">
        <v>538.522705078125</v>
      </c>
      <c r="O14">
        <v>538.522705078125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35</v>
      </c>
    </row>
    <row r="15" spans="1:24" x14ac:dyDescent="0.35">
      <c r="A15" t="s">
        <v>33</v>
      </c>
      <c r="B15" t="s">
        <v>34</v>
      </c>
      <c r="C15" t="s">
        <v>25</v>
      </c>
      <c r="D15">
        <v>24</v>
      </c>
      <c r="E15">
        <v>476.42340087890602</v>
      </c>
      <c r="F15">
        <v>476.42340087890602</v>
      </c>
      <c r="G15">
        <v>237.59785461425801</v>
      </c>
      <c r="H15">
        <f>G15/4.356</f>
        <v>54.544962032657949</v>
      </c>
      <c r="J15">
        <v>443</v>
      </c>
      <c r="K15">
        <v>340</v>
      </c>
      <c r="L15">
        <v>85</v>
      </c>
      <c r="M15">
        <v>9.5622682571411097</v>
      </c>
      <c r="N15">
        <v>7477.291015625</v>
      </c>
      <c r="O15">
        <v>7477.291015625</v>
      </c>
      <c r="P15">
        <v>6360.42822265625</v>
      </c>
      <c r="Q15">
        <v>6360.42822265625</v>
      </c>
      <c r="R15">
        <v>33414.95703125</v>
      </c>
      <c r="S15">
        <v>33414.95703125</v>
      </c>
      <c r="T15">
        <v>0</v>
      </c>
      <c r="U15">
        <v>0</v>
      </c>
      <c r="V15">
        <v>0</v>
      </c>
      <c r="W15">
        <v>0</v>
      </c>
      <c r="X15" t="s">
        <v>35</v>
      </c>
    </row>
    <row r="16" spans="1:24" x14ac:dyDescent="0.35">
      <c r="A16" t="s">
        <v>33</v>
      </c>
      <c r="B16" t="s">
        <v>34</v>
      </c>
      <c r="C16" t="s">
        <v>26</v>
      </c>
      <c r="D16">
        <v>33</v>
      </c>
      <c r="E16">
        <v>440.83294677734398</v>
      </c>
      <c r="F16">
        <v>440.83294677734398</v>
      </c>
      <c r="G16">
        <v>332.739501953125</v>
      </c>
      <c r="H16">
        <f>G16/4.356</f>
        <v>76.386478868945133</v>
      </c>
      <c r="J16">
        <v>572</v>
      </c>
      <c r="K16">
        <v>436</v>
      </c>
      <c r="L16">
        <v>97</v>
      </c>
      <c r="M16">
        <v>11.763914108276399</v>
      </c>
      <c r="N16">
        <v>11486.734375</v>
      </c>
      <c r="O16">
        <v>11486.734375</v>
      </c>
      <c r="P16">
        <v>10599.6865234375</v>
      </c>
      <c r="Q16">
        <v>10599.6865234375</v>
      </c>
      <c r="R16">
        <v>56331.2109375</v>
      </c>
      <c r="S16">
        <v>56331.2109375</v>
      </c>
      <c r="T16">
        <v>0</v>
      </c>
      <c r="U16">
        <v>0</v>
      </c>
      <c r="V16">
        <v>0</v>
      </c>
      <c r="W16">
        <v>0</v>
      </c>
      <c r="X16" t="s">
        <v>35</v>
      </c>
    </row>
    <row r="18" spans="1:24" x14ac:dyDescent="0.35">
      <c r="A18" t="s">
        <v>36</v>
      </c>
      <c r="B18" t="s">
        <v>37</v>
      </c>
      <c r="C18" t="s">
        <v>23</v>
      </c>
      <c r="D18">
        <v>0</v>
      </c>
      <c r="E18">
        <v>588</v>
      </c>
      <c r="F18">
        <v>588</v>
      </c>
      <c r="G18">
        <v>34.190216064453097</v>
      </c>
      <c r="H18">
        <f>G18/4.356</f>
        <v>7.8489935868808764</v>
      </c>
      <c r="J18">
        <v>98</v>
      </c>
      <c r="K18">
        <v>101</v>
      </c>
      <c r="L18">
        <v>34</v>
      </c>
      <c r="M18">
        <v>3.2651150226593</v>
      </c>
      <c r="N18">
        <v>371.07086181640602</v>
      </c>
      <c r="O18">
        <v>371.07086181640602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38</v>
      </c>
    </row>
    <row r="19" spans="1:24" x14ac:dyDescent="0.35">
      <c r="A19" t="s">
        <v>36</v>
      </c>
      <c r="B19" t="s">
        <v>37</v>
      </c>
      <c r="C19" t="s">
        <v>25</v>
      </c>
      <c r="D19">
        <v>24</v>
      </c>
      <c r="E19">
        <v>492.13726806640602</v>
      </c>
      <c r="F19">
        <v>492.13726806640602</v>
      </c>
      <c r="G19">
        <v>254.21975708007801</v>
      </c>
      <c r="H19">
        <f>G19/4.356</f>
        <v>58.360825775959142</v>
      </c>
      <c r="J19">
        <v>471</v>
      </c>
      <c r="K19">
        <v>360</v>
      </c>
      <c r="L19">
        <v>84</v>
      </c>
      <c r="M19">
        <v>9.7319011688232404</v>
      </c>
      <c r="N19">
        <v>7749.037109375</v>
      </c>
      <c r="O19">
        <v>7749.037109375</v>
      </c>
      <c r="P19">
        <v>6664.1044921875</v>
      </c>
      <c r="Q19">
        <v>6664.1044921875</v>
      </c>
      <c r="R19">
        <v>35096.6640625</v>
      </c>
      <c r="S19">
        <v>35096.6640625</v>
      </c>
      <c r="T19">
        <v>0</v>
      </c>
      <c r="U19">
        <v>0</v>
      </c>
      <c r="V19">
        <v>0</v>
      </c>
      <c r="W19">
        <v>0</v>
      </c>
      <c r="X19" t="s">
        <v>38</v>
      </c>
    </row>
    <row r="20" spans="1:24" x14ac:dyDescent="0.35">
      <c r="A20" t="s">
        <v>36</v>
      </c>
      <c r="B20" t="s">
        <v>37</v>
      </c>
      <c r="C20" t="s">
        <v>26</v>
      </c>
      <c r="D20">
        <v>33</v>
      </c>
      <c r="E20">
        <v>449.77151489257801</v>
      </c>
      <c r="F20">
        <v>449.77151489257801</v>
      </c>
      <c r="G20">
        <v>354.05975341796898</v>
      </c>
      <c r="H20">
        <f>G20/4.356</f>
        <v>81.280935128092054</v>
      </c>
      <c r="J20">
        <v>604</v>
      </c>
      <c r="K20">
        <v>460</v>
      </c>
      <c r="L20">
        <v>96</v>
      </c>
      <c r="M20">
        <v>12.013751029968301</v>
      </c>
      <c r="N20">
        <v>12175.251953125</v>
      </c>
      <c r="O20">
        <v>12175.251953125</v>
      </c>
      <c r="P20">
        <v>11303.34375</v>
      </c>
      <c r="Q20">
        <v>11303.34375</v>
      </c>
      <c r="R20">
        <v>60414.109375</v>
      </c>
      <c r="S20">
        <v>60414.109375</v>
      </c>
      <c r="T20">
        <v>0</v>
      </c>
      <c r="U20">
        <v>0</v>
      </c>
      <c r="V20">
        <v>0</v>
      </c>
      <c r="W20">
        <v>0</v>
      </c>
      <c r="X20" t="s">
        <v>38</v>
      </c>
    </row>
    <row r="22" spans="1:24" x14ac:dyDescent="0.35">
      <c r="A22" t="s">
        <v>40</v>
      </c>
      <c r="C22" t="s">
        <v>23</v>
      </c>
      <c r="G22">
        <f>AVERAGE(G2,G6,G10,G14,G18)</f>
        <v>35.203452682495126</v>
      </c>
      <c r="H22">
        <f>G22/4.356</f>
        <v>8.0816007076435099</v>
      </c>
      <c r="I22">
        <f>STDEV(H2,H6,H10,H14,H18)/SQRT(COUNT(H2,H6,H10,H14,H18))</f>
        <v>0.53942848459334203</v>
      </c>
    </row>
    <row r="23" spans="1:24" x14ac:dyDescent="0.35">
      <c r="C23" t="s">
        <v>25</v>
      </c>
      <c r="G23">
        <f>AVERAGE(G3,G7,G11,G15,G19)</f>
        <v>262.40920104980489</v>
      </c>
      <c r="H23">
        <f>G23/4.356</f>
        <v>60.240863418228855</v>
      </c>
      <c r="I23">
        <f>STDEV(H3,H7,H11,H15,H19)/SQRT(COUNT(H3,H7,H11,H15,H19))</f>
        <v>1.8526486922095549</v>
      </c>
    </row>
    <row r="24" spans="1:24" x14ac:dyDescent="0.35">
      <c r="C24" t="s">
        <v>26</v>
      </c>
      <c r="G24">
        <f>AVERAGE(G4,G8,G12,G16,G20)</f>
        <v>359.38301391601556</v>
      </c>
      <c r="H24">
        <f>G24/4.356</f>
        <v>82.502987584025618</v>
      </c>
      <c r="I24">
        <f>STDEV(H4,H8,H12,H16,H20)/SQRT(COUNT(H4,H8,H12,H16,H20))</f>
        <v>1.8399926324062084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AE4F-405F-4C6A-8FD3-F403FC6BBC58}">
  <dimension ref="A1:X24"/>
  <sheetViews>
    <sheetView tabSelected="1" workbookViewId="0">
      <selection activeCell="N32" sqref="N32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  <c r="H1" t="s">
        <v>42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35">
      <c r="A2" t="s">
        <v>21</v>
      </c>
      <c r="B2" t="s">
        <v>22</v>
      </c>
      <c r="C2" t="s">
        <v>23</v>
      </c>
      <c r="D2">
        <v>0</v>
      </c>
      <c r="E2">
        <v>716</v>
      </c>
      <c r="F2">
        <v>716</v>
      </c>
      <c r="G2">
        <v>32.904544830322301</v>
      </c>
      <c r="H2">
        <f>G2/4.356</f>
        <v>7.5538440840960286</v>
      </c>
      <c r="J2">
        <v>98</v>
      </c>
      <c r="K2">
        <v>107</v>
      </c>
      <c r="L2">
        <v>33</v>
      </c>
      <c r="M2">
        <v>2.9027373790740998</v>
      </c>
      <c r="N2">
        <v>342.09484863281199</v>
      </c>
      <c r="O2">
        <v>342.09484863281199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24</v>
      </c>
    </row>
    <row r="3" spans="1:24" x14ac:dyDescent="0.35">
      <c r="A3" t="s">
        <v>21</v>
      </c>
      <c r="B3" t="s">
        <v>22</v>
      </c>
      <c r="C3" t="s">
        <v>25</v>
      </c>
      <c r="D3">
        <v>24</v>
      </c>
      <c r="E3">
        <v>562.35559082031205</v>
      </c>
      <c r="F3">
        <v>562.35559082031205</v>
      </c>
      <c r="G3">
        <v>259.063720703125</v>
      </c>
      <c r="H3">
        <f>G3/4.356</f>
        <v>59.472846809716486</v>
      </c>
      <c r="J3">
        <v>491</v>
      </c>
      <c r="K3">
        <v>376</v>
      </c>
      <c r="L3">
        <v>83</v>
      </c>
      <c r="M3">
        <v>9.1903953552246094</v>
      </c>
      <c r="N3">
        <v>7558.05517578125</v>
      </c>
      <c r="O3">
        <v>7558.05517578125</v>
      </c>
      <c r="P3">
        <v>6267.4638671875</v>
      </c>
      <c r="Q3">
        <v>6267.4638671875</v>
      </c>
      <c r="R3">
        <v>33296.375</v>
      </c>
      <c r="S3">
        <v>33296.375</v>
      </c>
      <c r="T3">
        <v>0</v>
      </c>
      <c r="U3">
        <v>0</v>
      </c>
      <c r="V3">
        <v>0</v>
      </c>
      <c r="W3">
        <v>0</v>
      </c>
      <c r="X3" t="s">
        <v>24</v>
      </c>
    </row>
    <row r="4" spans="1:24" x14ac:dyDescent="0.35">
      <c r="A4" t="s">
        <v>21</v>
      </c>
      <c r="B4" t="s">
        <v>22</v>
      </c>
      <c r="C4" t="s">
        <v>26</v>
      </c>
      <c r="D4">
        <v>33</v>
      </c>
      <c r="E4">
        <v>506.87930297851602</v>
      </c>
      <c r="F4">
        <v>506.87930297851602</v>
      </c>
      <c r="G4">
        <v>353.00183105468801</v>
      </c>
      <c r="H4">
        <f>G4/4.356</f>
        <v>81.038069571783296</v>
      </c>
      <c r="J4">
        <v>617</v>
      </c>
      <c r="K4">
        <v>469</v>
      </c>
      <c r="L4">
        <v>94</v>
      </c>
      <c r="M4">
        <v>11.299843788146999</v>
      </c>
      <c r="N4">
        <v>11635.35546875</v>
      </c>
      <c r="O4">
        <v>11635.35546875</v>
      </c>
      <c r="P4">
        <v>10690.5703125</v>
      </c>
      <c r="Q4">
        <v>10690.5703125</v>
      </c>
      <c r="R4">
        <v>56926.0625</v>
      </c>
      <c r="S4">
        <v>56926.0625</v>
      </c>
      <c r="T4">
        <v>0</v>
      </c>
      <c r="U4">
        <v>0</v>
      </c>
      <c r="V4">
        <v>0</v>
      </c>
      <c r="W4">
        <v>0</v>
      </c>
      <c r="X4" t="s">
        <v>24</v>
      </c>
    </row>
    <row r="6" spans="1:24" x14ac:dyDescent="0.35">
      <c r="A6" t="s">
        <v>27</v>
      </c>
      <c r="B6" t="s">
        <v>28</v>
      </c>
      <c r="C6" t="s">
        <v>23</v>
      </c>
      <c r="D6">
        <v>0</v>
      </c>
      <c r="E6">
        <v>684</v>
      </c>
      <c r="F6">
        <v>684</v>
      </c>
      <c r="G6">
        <v>32.552436828613303</v>
      </c>
      <c r="H6">
        <f>G6/4.356</f>
        <v>7.4730112095071863</v>
      </c>
      <c r="J6">
        <v>97</v>
      </c>
      <c r="K6">
        <v>104</v>
      </c>
      <c r="L6">
        <v>34</v>
      </c>
      <c r="M6">
        <v>2.95392870903015</v>
      </c>
      <c r="N6">
        <v>346.19210815429699</v>
      </c>
      <c r="O6">
        <v>346.19210815429699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29</v>
      </c>
    </row>
    <row r="7" spans="1:24" x14ac:dyDescent="0.35">
      <c r="A7" t="s">
        <v>27</v>
      </c>
      <c r="B7" t="s">
        <v>28</v>
      </c>
      <c r="C7" t="s">
        <v>25</v>
      </c>
      <c r="D7">
        <v>24</v>
      </c>
      <c r="E7">
        <v>534.67279052734398</v>
      </c>
      <c r="F7">
        <v>534.67279052734398</v>
      </c>
      <c r="G7">
        <v>260.62521362304699</v>
      </c>
      <c r="H7">
        <f>G7/4.356</f>
        <v>59.83131625873439</v>
      </c>
      <c r="J7">
        <v>489</v>
      </c>
      <c r="K7">
        <v>374</v>
      </c>
      <c r="L7">
        <v>83</v>
      </c>
      <c r="M7">
        <v>9.4536685943603498</v>
      </c>
      <c r="N7">
        <v>7706.208984375</v>
      </c>
      <c r="O7">
        <v>7706.208984375</v>
      </c>
      <c r="P7">
        <v>6534.451171875</v>
      </c>
      <c r="Q7">
        <v>6534.451171875</v>
      </c>
      <c r="R7">
        <v>34650.875</v>
      </c>
      <c r="S7">
        <v>34650.875</v>
      </c>
      <c r="T7">
        <v>0</v>
      </c>
      <c r="U7">
        <v>0</v>
      </c>
      <c r="V7">
        <v>0</v>
      </c>
      <c r="W7">
        <v>0</v>
      </c>
      <c r="X7" t="s">
        <v>29</v>
      </c>
    </row>
    <row r="8" spans="1:24" x14ac:dyDescent="0.35">
      <c r="A8" t="s">
        <v>27</v>
      </c>
      <c r="B8" t="s">
        <v>28</v>
      </c>
      <c r="C8" t="s">
        <v>26</v>
      </c>
      <c r="D8">
        <v>33</v>
      </c>
      <c r="E8">
        <v>484.77377319335898</v>
      </c>
      <c r="F8">
        <v>484.77377319335898</v>
      </c>
      <c r="G8">
        <v>352.88726806640602</v>
      </c>
      <c r="H8">
        <f>G8/4.356</f>
        <v>81.011769528559697</v>
      </c>
      <c r="J8">
        <v>611</v>
      </c>
      <c r="K8">
        <v>465</v>
      </c>
      <c r="L8">
        <v>95</v>
      </c>
      <c r="M8">
        <v>11.5527334213257</v>
      </c>
      <c r="N8">
        <v>11752.6279296875</v>
      </c>
      <c r="O8">
        <v>11752.6279296875</v>
      </c>
      <c r="P8">
        <v>10863.79296875</v>
      </c>
      <c r="Q8">
        <v>10863.79296875</v>
      </c>
      <c r="R8">
        <v>57887.3203125</v>
      </c>
      <c r="S8">
        <v>57887.3203125</v>
      </c>
      <c r="T8">
        <v>0</v>
      </c>
      <c r="U8">
        <v>0</v>
      </c>
      <c r="V8">
        <v>0</v>
      </c>
      <c r="W8">
        <v>0</v>
      </c>
      <c r="X8" t="s">
        <v>29</v>
      </c>
    </row>
    <row r="10" spans="1:24" x14ac:dyDescent="0.35">
      <c r="A10" t="s">
        <v>30</v>
      </c>
      <c r="B10" t="s">
        <v>31</v>
      </c>
      <c r="C10" t="s">
        <v>23</v>
      </c>
      <c r="D10">
        <v>0</v>
      </c>
      <c r="E10">
        <v>596</v>
      </c>
      <c r="F10">
        <v>596</v>
      </c>
      <c r="G10">
        <v>31.887914657592798</v>
      </c>
      <c r="H10">
        <f>G10/4.356</f>
        <v>7.3204579103748388</v>
      </c>
      <c r="J10">
        <v>92</v>
      </c>
      <c r="K10">
        <v>97</v>
      </c>
      <c r="L10">
        <v>34</v>
      </c>
      <c r="M10">
        <v>3.1320331096649201</v>
      </c>
      <c r="N10">
        <v>347.98818969726602</v>
      </c>
      <c r="O10">
        <v>347.98818969726602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32</v>
      </c>
    </row>
    <row r="11" spans="1:24" x14ac:dyDescent="0.35">
      <c r="A11" t="s">
        <v>30</v>
      </c>
      <c r="B11" t="s">
        <v>31</v>
      </c>
      <c r="C11" t="s">
        <v>25</v>
      </c>
      <c r="D11">
        <v>24</v>
      </c>
      <c r="E11">
        <v>473.05685424804699</v>
      </c>
      <c r="F11">
        <v>473.05685424804699</v>
      </c>
      <c r="G11">
        <v>243.05108642578099</v>
      </c>
      <c r="H11">
        <f>G11/4.356</f>
        <v>55.796851796552112</v>
      </c>
      <c r="J11">
        <v>451</v>
      </c>
      <c r="K11">
        <v>345</v>
      </c>
      <c r="L11">
        <v>84</v>
      </c>
      <c r="M11">
        <v>9.7057361602783203</v>
      </c>
      <c r="N11">
        <v>7202.71728515625</v>
      </c>
      <c r="O11">
        <v>7202.71728515625</v>
      </c>
      <c r="P11">
        <v>6178.29931640625</v>
      </c>
      <c r="Q11">
        <v>6178.29931640625</v>
      </c>
      <c r="R11">
        <v>32582.73046875</v>
      </c>
      <c r="S11">
        <v>32582.73046875</v>
      </c>
      <c r="T11">
        <v>0</v>
      </c>
      <c r="U11">
        <v>0</v>
      </c>
      <c r="V11">
        <v>0</v>
      </c>
      <c r="W11">
        <v>0</v>
      </c>
      <c r="X11" t="s">
        <v>32</v>
      </c>
    </row>
    <row r="12" spans="1:24" x14ac:dyDescent="0.35">
      <c r="A12" t="s">
        <v>30</v>
      </c>
      <c r="B12" t="s">
        <v>31</v>
      </c>
      <c r="C12" t="s">
        <v>26</v>
      </c>
      <c r="D12">
        <v>33</v>
      </c>
      <c r="E12">
        <v>433.95104980468801</v>
      </c>
      <c r="F12">
        <v>433.95104980468801</v>
      </c>
      <c r="G12">
        <v>331.87435913085898</v>
      </c>
      <c r="H12">
        <f>G12/4.356</f>
        <v>76.187869405615004</v>
      </c>
      <c r="J12">
        <v>569</v>
      </c>
      <c r="K12">
        <v>433</v>
      </c>
      <c r="L12">
        <v>95</v>
      </c>
      <c r="M12">
        <v>11.8413944244385</v>
      </c>
      <c r="N12">
        <v>11168.8916015625</v>
      </c>
      <c r="O12">
        <v>11168.8916015625</v>
      </c>
      <c r="P12">
        <v>10352.49609375</v>
      </c>
      <c r="Q12">
        <v>10352.49609375</v>
      </c>
      <c r="R12">
        <v>55251.01953125</v>
      </c>
      <c r="S12">
        <v>55251.01953125</v>
      </c>
      <c r="T12">
        <v>0</v>
      </c>
      <c r="U12">
        <v>0</v>
      </c>
      <c r="V12">
        <v>0</v>
      </c>
      <c r="W12">
        <v>0</v>
      </c>
      <c r="X12" t="s">
        <v>32</v>
      </c>
    </row>
    <row r="14" spans="1:24" x14ac:dyDescent="0.35">
      <c r="A14" t="s">
        <v>33</v>
      </c>
      <c r="B14" t="s">
        <v>34</v>
      </c>
      <c r="C14" t="s">
        <v>23</v>
      </c>
      <c r="D14">
        <v>0</v>
      </c>
      <c r="E14">
        <v>560</v>
      </c>
      <c r="F14">
        <v>560</v>
      </c>
      <c r="G14">
        <v>44.482151031494098</v>
      </c>
      <c r="H14">
        <f>G14/4.356</f>
        <v>10.211696747358609</v>
      </c>
      <c r="J14">
        <v>119</v>
      </c>
      <c r="K14">
        <v>115</v>
      </c>
      <c r="L14">
        <v>37</v>
      </c>
      <c r="M14">
        <v>3.8162360191345202</v>
      </c>
      <c r="N14">
        <v>538.522705078125</v>
      </c>
      <c r="O14">
        <v>538.522705078125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35</v>
      </c>
    </row>
    <row r="15" spans="1:24" x14ac:dyDescent="0.35">
      <c r="A15" t="s">
        <v>33</v>
      </c>
      <c r="B15" t="s">
        <v>34</v>
      </c>
      <c r="C15" t="s">
        <v>25</v>
      </c>
      <c r="D15">
        <v>24</v>
      </c>
      <c r="E15">
        <v>420.235107421875</v>
      </c>
      <c r="F15">
        <v>420.235107421875</v>
      </c>
      <c r="G15">
        <v>203.90431213378901</v>
      </c>
      <c r="H15">
        <f>G15/4.356</f>
        <v>46.809989011429984</v>
      </c>
      <c r="J15">
        <v>383</v>
      </c>
      <c r="K15">
        <v>294</v>
      </c>
      <c r="L15">
        <v>84</v>
      </c>
      <c r="M15">
        <v>9.4319858551025408</v>
      </c>
      <c r="N15">
        <v>6357.35546875</v>
      </c>
      <c r="O15">
        <v>6357.35546875</v>
      </c>
      <c r="P15">
        <v>5356.04052734375</v>
      </c>
      <c r="Q15">
        <v>5356.04052734375</v>
      </c>
      <c r="R15">
        <v>28170.12109375</v>
      </c>
      <c r="S15">
        <v>28170.12109375</v>
      </c>
      <c r="T15">
        <v>0</v>
      </c>
      <c r="U15">
        <v>0</v>
      </c>
      <c r="V15">
        <v>0</v>
      </c>
      <c r="W15">
        <v>0</v>
      </c>
      <c r="X15" t="s">
        <v>35</v>
      </c>
    </row>
    <row r="16" spans="1:24" x14ac:dyDescent="0.35">
      <c r="A16" t="s">
        <v>33</v>
      </c>
      <c r="B16" t="s">
        <v>34</v>
      </c>
      <c r="C16" t="s">
        <v>26</v>
      </c>
      <c r="D16">
        <v>33</v>
      </c>
      <c r="E16">
        <v>391.13436889648398</v>
      </c>
      <c r="F16">
        <v>391.13436889648398</v>
      </c>
      <c r="G16">
        <v>282.002685546875</v>
      </c>
      <c r="H16">
        <f>G16/4.356</f>
        <v>64.738908527749089</v>
      </c>
      <c r="J16">
        <v>489</v>
      </c>
      <c r="K16">
        <v>373</v>
      </c>
      <c r="L16">
        <v>95</v>
      </c>
      <c r="M16">
        <v>11.4974164962769</v>
      </c>
      <c r="N16">
        <v>9557.69921875</v>
      </c>
      <c r="O16">
        <v>9557.69921875</v>
      </c>
      <c r="P16">
        <v>8795.658203125</v>
      </c>
      <c r="Q16">
        <v>8795.658203125</v>
      </c>
      <c r="R16">
        <v>46418.546875</v>
      </c>
      <c r="S16">
        <v>46418.546875</v>
      </c>
      <c r="T16">
        <v>0</v>
      </c>
      <c r="U16">
        <v>0</v>
      </c>
      <c r="V16">
        <v>0</v>
      </c>
      <c r="W16">
        <v>0</v>
      </c>
      <c r="X16" t="s">
        <v>35</v>
      </c>
    </row>
    <row r="18" spans="1:24" x14ac:dyDescent="0.35">
      <c r="A18" t="s">
        <v>36</v>
      </c>
      <c r="B18" t="s">
        <v>37</v>
      </c>
      <c r="C18" t="s">
        <v>23</v>
      </c>
      <c r="D18">
        <v>0</v>
      </c>
      <c r="E18">
        <v>588</v>
      </c>
      <c r="F18">
        <v>588</v>
      </c>
      <c r="G18">
        <v>34.190216064453097</v>
      </c>
      <c r="H18">
        <f>G18/4.356</f>
        <v>7.8489935868808764</v>
      </c>
      <c r="J18">
        <v>98</v>
      </c>
      <c r="K18">
        <v>101</v>
      </c>
      <c r="L18">
        <v>34</v>
      </c>
      <c r="M18">
        <v>3.2651150226593</v>
      </c>
      <c r="N18">
        <v>371.07086181640602</v>
      </c>
      <c r="O18">
        <v>371.07086181640602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38</v>
      </c>
    </row>
    <row r="19" spans="1:24" x14ac:dyDescent="0.35">
      <c r="A19" t="s">
        <v>36</v>
      </c>
      <c r="B19" t="s">
        <v>37</v>
      </c>
      <c r="C19" t="s">
        <v>25</v>
      </c>
      <c r="D19">
        <v>24</v>
      </c>
      <c r="E19">
        <v>431.91735839843801</v>
      </c>
      <c r="F19">
        <v>431.91735839843801</v>
      </c>
      <c r="G19">
        <v>215.77613830566401</v>
      </c>
      <c r="H19">
        <f>G19/4.356</f>
        <v>49.535385285965106</v>
      </c>
      <c r="J19">
        <v>403</v>
      </c>
      <c r="K19">
        <v>308</v>
      </c>
      <c r="L19">
        <v>83</v>
      </c>
      <c r="M19">
        <v>9.5705699920654297</v>
      </c>
      <c r="N19">
        <v>6509.78369140625</v>
      </c>
      <c r="O19">
        <v>6509.78369140625</v>
      </c>
      <c r="P19">
        <v>5544.806640625</v>
      </c>
      <c r="Q19">
        <v>5544.806640625</v>
      </c>
      <c r="R19">
        <v>29244.427734375</v>
      </c>
      <c r="S19">
        <v>29244.427734375</v>
      </c>
      <c r="T19">
        <v>0</v>
      </c>
      <c r="U19">
        <v>0</v>
      </c>
      <c r="V19">
        <v>0</v>
      </c>
      <c r="W19">
        <v>0</v>
      </c>
      <c r="X19" t="s">
        <v>38</v>
      </c>
    </row>
    <row r="20" spans="1:24" x14ac:dyDescent="0.35">
      <c r="A20" t="s">
        <v>36</v>
      </c>
      <c r="B20" t="s">
        <v>37</v>
      </c>
      <c r="C20" t="s">
        <v>26</v>
      </c>
      <c r="D20">
        <v>33</v>
      </c>
      <c r="E20">
        <v>398.84024047851602</v>
      </c>
      <c r="F20">
        <v>398.84024047851602</v>
      </c>
      <c r="G20">
        <v>302.78497314453102</v>
      </c>
      <c r="H20">
        <f>G20/4.356</f>
        <v>69.509865276522277</v>
      </c>
      <c r="J20">
        <v>520</v>
      </c>
      <c r="K20">
        <v>396</v>
      </c>
      <c r="L20">
        <v>93</v>
      </c>
      <c r="M20">
        <v>11.797872543335</v>
      </c>
      <c r="N20">
        <v>10198.681640625</v>
      </c>
      <c r="O20">
        <v>10198.681640625</v>
      </c>
      <c r="P20">
        <v>9451.869140625</v>
      </c>
      <c r="Q20">
        <v>9451.869140625</v>
      </c>
      <c r="R20">
        <v>50316.10546875</v>
      </c>
      <c r="S20">
        <v>50316.10546875</v>
      </c>
      <c r="T20">
        <v>0</v>
      </c>
      <c r="U20">
        <v>0</v>
      </c>
      <c r="V20">
        <v>0</v>
      </c>
      <c r="W20">
        <v>0</v>
      </c>
      <c r="X20" t="s">
        <v>38</v>
      </c>
    </row>
    <row r="22" spans="1:24" x14ac:dyDescent="0.35">
      <c r="A22" t="s">
        <v>40</v>
      </c>
      <c r="C22" t="s">
        <v>23</v>
      </c>
      <c r="G22">
        <f>AVERAGE(G2,G6,G10,G14,G18)</f>
        <v>35.203452682495126</v>
      </c>
      <c r="H22">
        <f>G22/4.356</f>
        <v>8.0816007076435099</v>
      </c>
      <c r="I22">
        <f>STDEV(H2,H6,H10,H14,H18)/SQRT(COUNT(H2,H6,H10,H14,H18))</f>
        <v>0.53942848459334203</v>
      </c>
    </row>
    <row r="23" spans="1:24" x14ac:dyDescent="0.35">
      <c r="C23" t="s">
        <v>25</v>
      </c>
      <c r="G23">
        <f>AVERAGE(G3,G7,G11,G15,G19)</f>
        <v>236.48409423828122</v>
      </c>
      <c r="H23">
        <f>G23/4.356</f>
        <v>54.28927783247962</v>
      </c>
      <c r="I23">
        <f>STDEV(H3,H7,H11,H15,H19)/SQRT(COUNT(H3,H7,H11,H15,H19))</f>
        <v>2.6305475868104957</v>
      </c>
    </row>
    <row r="24" spans="1:24" x14ac:dyDescent="0.35">
      <c r="C24" t="s">
        <v>26</v>
      </c>
      <c r="G24">
        <f>AVERAGE(G4,G8,G12,G16,G20)</f>
        <v>324.51022338867176</v>
      </c>
      <c r="H24">
        <f>G24/4.356</f>
        <v>74.497296462045867</v>
      </c>
      <c r="I24">
        <f>STDEV(H4,H8,H12,H16,H20)/SQRT(COUNT(H4,H8,H12,H16,H20))</f>
        <v>3.2262882232643793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FVS</vt:lpstr>
      <vt:lpstr>WRDM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2022-09-23T01:56:10Z</dcterms:created>
  <dcterms:modified xsi:type="dcterms:W3CDTF">2022-09-23T02:29:15Z</dcterms:modified>
</cp:coreProperties>
</file>